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aprakash320_gatech_edu/Documents/Documents/Coursework/Sys of Sys Eng/Model/src/data/"/>
    </mc:Choice>
  </mc:AlternateContent>
  <xr:revisionPtr revIDLastSave="29" documentId="8_{626840CF-1464-49BB-95F4-E0F3E57DC4B3}" xr6:coauthVersionLast="47" xr6:coauthVersionMax="47" xr10:uidLastSave="{5F2CDD78-C7CF-4855-A9F1-4B5CD4FFDCDE}"/>
  <bookViews>
    <workbookView xWindow="-28920" yWindow="1950" windowWidth="29040" windowHeight="15720" xr2:uid="{834F95B2-1007-4D9D-B2A8-10672D8F1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6" i="1"/>
  <c r="L5" i="1"/>
  <c r="L4" i="1"/>
  <c r="L3" i="1"/>
</calcChain>
</file>

<file path=xl/sharedStrings.xml><?xml version="1.0" encoding="utf-8"?>
<sst xmlns="http://schemas.openxmlformats.org/spreadsheetml/2006/main" count="16" uniqueCount="16">
  <si>
    <t>CH4_Default</t>
  </si>
  <si>
    <t>Use_relative</t>
  </si>
  <si>
    <t>Use_annual</t>
  </si>
  <si>
    <t>Use_MAD</t>
  </si>
  <si>
    <t>k</t>
  </si>
  <si>
    <t>L0</t>
  </si>
  <si>
    <t>RMSE</t>
  </si>
  <si>
    <t>No. of outliers</t>
  </si>
  <si>
    <t>CH_4 is true and Use_rel is true</t>
  </si>
  <si>
    <t>CH_4 is true and Use_rel is false</t>
  </si>
  <si>
    <t>CH_4 is false and Use_rel is true</t>
  </si>
  <si>
    <t>CH_4 is false and Use_rel is false</t>
  </si>
  <si>
    <t>Use_Annual is true and Use_rel is true</t>
  </si>
  <si>
    <t>Use_annual is true and Use_rel is false</t>
  </si>
  <si>
    <t>Use_annual is false and Use_rel is false</t>
  </si>
  <si>
    <t>Use-annual is false and Use_rel is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</si>
</sst>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02D0-7716-41C7-8006-A8BA0CBD25A6}">
  <dimension ref="A1:L17"/>
  <sheetViews>
    <sheetView tabSelected="1" workbookViewId="0">
      <selection activeCell="A9" sqref="A9:XFD9"/>
    </sheetView>
  </sheetViews>
  <sheetFormatPr defaultRowHeight="14.4" x14ac:dyDescent="0.3"/>
  <cols>
    <col min="1" max="2" width="11.21875" bestFit="1" customWidth="1"/>
    <col min="3" max="3" width="11.109375" bestFit="1" customWidth="1"/>
    <col min="11" max="11" width="2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 t="b">
        <v>1</v>
      </c>
      <c r="B2" t="b">
        <v>1</v>
      </c>
      <c r="C2" t="b">
        <v>1</v>
      </c>
      <c r="D2" t="b">
        <v>1</v>
      </c>
      <c r="E2">
        <v>3.3992399999999999E-2</v>
      </c>
      <c r="F2">
        <v>2126.3227099999999</v>
      </c>
      <c r="G2">
        <v>0.50446999999999997</v>
      </c>
      <c r="H2">
        <v>2</v>
      </c>
    </row>
    <row r="3" spans="1:12" x14ac:dyDescent="0.3">
      <c r="A3" t="b">
        <v>1</v>
      </c>
      <c r="B3" t="b">
        <v>1</v>
      </c>
      <c r="C3" t="b">
        <v>1</v>
      </c>
      <c r="D3" t="b">
        <v>0</v>
      </c>
      <c r="E3">
        <v>1.72999E-2</v>
      </c>
      <c r="F3">
        <v>1989.75</v>
      </c>
      <c r="G3">
        <v>0.66007000000000005</v>
      </c>
      <c r="H3">
        <v>0</v>
      </c>
      <c r="K3" t="s">
        <v>8</v>
      </c>
      <c r="L3">
        <f>AVERAGEIFS(G:G, A:A, TRUE, B:B, TRUE)</f>
        <v>0.46617405000000006</v>
      </c>
    </row>
    <row r="4" spans="1:12" s="1" customFormat="1" x14ac:dyDescent="0.3">
      <c r="A4" s="1" t="b">
        <v>1</v>
      </c>
      <c r="B4" s="1" t="b">
        <v>1</v>
      </c>
      <c r="C4" s="1" t="b">
        <v>0</v>
      </c>
      <c r="D4" s="1" t="b">
        <v>1</v>
      </c>
      <c r="E4" s="1">
        <v>2.8588148739999999E-3</v>
      </c>
      <c r="F4" s="1">
        <v>21278.796108999999</v>
      </c>
      <c r="G4" s="1">
        <v>0.29250999999999999</v>
      </c>
      <c r="H4" s="1">
        <v>3</v>
      </c>
      <c r="K4" s="1" t="s">
        <v>9</v>
      </c>
      <c r="L4" s="1">
        <f>AVERAGEIFS(G:G, A:A, TRUE, B:B, FALSE)</f>
        <v>1.0873448378349999</v>
      </c>
    </row>
    <row r="5" spans="1:12" s="1" customFormat="1" x14ac:dyDescent="0.3">
      <c r="A5" s="1" t="b">
        <v>1</v>
      </c>
      <c r="B5" s="1" t="b">
        <v>1</v>
      </c>
      <c r="C5" s="1" t="b">
        <v>0</v>
      </c>
      <c r="D5" s="1" t="b">
        <v>0</v>
      </c>
      <c r="E5" s="1">
        <v>1.7329210000000001E-2</v>
      </c>
      <c r="F5" s="1">
        <v>3855.4060039999999</v>
      </c>
      <c r="G5" s="1">
        <v>0.40764620000000001</v>
      </c>
      <c r="H5" s="1">
        <v>0</v>
      </c>
      <c r="K5" s="1" t="s">
        <v>10</v>
      </c>
      <c r="L5" s="1">
        <f>AVERAGEIFS(G:G, A:A, FALSE, B:B, TRUE)</f>
        <v>0.49659573300000004</v>
      </c>
    </row>
    <row r="6" spans="1:12" x14ac:dyDescent="0.3">
      <c r="A6" t="b">
        <v>1</v>
      </c>
      <c r="B6" t="b">
        <v>0</v>
      </c>
      <c r="C6" t="b">
        <v>1</v>
      </c>
      <c r="D6" t="b">
        <v>1</v>
      </c>
      <c r="E6">
        <v>4.1799999999999997E-2</v>
      </c>
      <c r="F6">
        <v>1947.652458</v>
      </c>
      <c r="G6">
        <v>0.68135699999999999</v>
      </c>
      <c r="H6">
        <v>4</v>
      </c>
      <c r="K6" t="s">
        <v>11</v>
      </c>
      <c r="L6">
        <f>AVERAGEIFS(G:G, A:A, FALSE, B:B, FALSE)</f>
        <v>1.1519505247499999</v>
      </c>
    </row>
    <row r="7" spans="1:12" x14ac:dyDescent="0.3">
      <c r="A7" t="b">
        <v>1</v>
      </c>
      <c r="B7" t="b">
        <v>0</v>
      </c>
      <c r="C7" t="b">
        <v>1</v>
      </c>
      <c r="D7" t="b">
        <v>0</v>
      </c>
      <c r="E7">
        <v>6.8045400000000006E-2</v>
      </c>
      <c r="F7">
        <v>1472.9342148200001</v>
      </c>
      <c r="G7">
        <v>1.9564929797999999</v>
      </c>
      <c r="H7">
        <v>0</v>
      </c>
    </row>
    <row r="8" spans="1:12" s="1" customFormat="1" x14ac:dyDescent="0.3">
      <c r="A8" s="1" t="b">
        <v>1</v>
      </c>
      <c r="B8" s="1" t="b">
        <v>0</v>
      </c>
      <c r="C8" s="1" t="b">
        <v>0</v>
      </c>
      <c r="D8" s="1" t="b">
        <v>1</v>
      </c>
      <c r="E8" s="1">
        <v>4.8165600000000003E-2</v>
      </c>
      <c r="F8" s="1">
        <v>2790.7358100000001</v>
      </c>
      <c r="G8" s="1">
        <v>0.53260640000000004</v>
      </c>
      <c r="H8" s="1">
        <v>6</v>
      </c>
      <c r="K8" s="1" t="s">
        <v>12</v>
      </c>
      <c r="L8" s="1">
        <f>AVERAGEIFS(G:G, C:C, TRUE, B:B, TRUE)</f>
        <v>0.57902616299999998</v>
      </c>
    </row>
    <row r="9" spans="1:12" s="1" customFormat="1" x14ac:dyDescent="0.3">
      <c r="A9" s="1" t="b">
        <v>1</v>
      </c>
      <c r="B9" s="1" t="b">
        <v>0</v>
      </c>
      <c r="C9" s="1" t="b">
        <v>0</v>
      </c>
      <c r="D9" s="1" t="b">
        <v>0</v>
      </c>
      <c r="E9" s="1">
        <v>4.1071999999999997E-2</v>
      </c>
      <c r="F9" s="1">
        <v>2514.4891360000001</v>
      </c>
      <c r="G9" s="1">
        <v>1.17892297154</v>
      </c>
      <c r="H9" s="1">
        <v>0</v>
      </c>
      <c r="K9" s="1" t="s">
        <v>13</v>
      </c>
      <c r="L9" s="1">
        <f>AVERAGEIFS(G:G, C:C, TRUE, B:B, FALSE)</f>
        <v>1.3011793998000001</v>
      </c>
    </row>
    <row r="10" spans="1:12" x14ac:dyDescent="0.3">
      <c r="A10" t="b">
        <v>0</v>
      </c>
      <c r="B10" t="b">
        <v>1</v>
      </c>
      <c r="C10" t="b">
        <v>1</v>
      </c>
      <c r="D10" t="b">
        <v>1</v>
      </c>
      <c r="E10">
        <v>3.9164999999999998E-2</v>
      </c>
      <c r="F10">
        <v>1903.4782700000001</v>
      </c>
      <c r="G10">
        <v>0.49620379999999997</v>
      </c>
      <c r="H10">
        <v>2</v>
      </c>
      <c r="K10" t="s">
        <v>15</v>
      </c>
      <c r="L10">
        <f>AVERAGEIFS(G:G, C:C, FALSE, B:B, TRUE)</f>
        <v>0.38374362000000001</v>
      </c>
    </row>
    <row r="11" spans="1:12" x14ac:dyDescent="0.3">
      <c r="A11" t="b">
        <v>0</v>
      </c>
      <c r="B11" t="b">
        <v>1</v>
      </c>
      <c r="C11" t="b">
        <v>1</v>
      </c>
      <c r="D11" t="b">
        <v>0</v>
      </c>
      <c r="E11">
        <v>2.2157199999999998E-2</v>
      </c>
      <c r="F11">
        <v>1605.4536479999999</v>
      </c>
      <c r="G11">
        <v>0.65536085200000005</v>
      </c>
      <c r="H11">
        <v>0</v>
      </c>
      <c r="K11" t="s">
        <v>14</v>
      </c>
      <c r="L11">
        <f>AVERAGEIFS(G:G, C:C, FALSE, B:B, FALSE)</f>
        <v>0.93811596278499998</v>
      </c>
    </row>
    <row r="12" spans="1:12" x14ac:dyDescent="0.3">
      <c r="A12" t="b">
        <v>0</v>
      </c>
      <c r="B12" t="b">
        <v>1</v>
      </c>
      <c r="C12" t="b">
        <v>0</v>
      </c>
      <c r="D12" t="b">
        <v>1</v>
      </c>
      <c r="E12">
        <v>1.6219799999999999E-2</v>
      </c>
      <c r="F12">
        <v>4073.9572400000002</v>
      </c>
      <c r="G12">
        <v>0.36557600000000001</v>
      </c>
      <c r="H12">
        <v>2</v>
      </c>
    </row>
    <row r="13" spans="1:12" x14ac:dyDescent="0.3">
      <c r="A13" t="b">
        <v>0</v>
      </c>
      <c r="B13" t="b">
        <v>1</v>
      </c>
      <c r="C13" t="b">
        <v>0</v>
      </c>
      <c r="D13" t="b">
        <v>0</v>
      </c>
      <c r="E13">
        <v>4.3380000000000002E-2</v>
      </c>
      <c r="F13">
        <v>2018.7909999999999</v>
      </c>
      <c r="G13">
        <v>0.46924228000000001</v>
      </c>
      <c r="H13">
        <v>0</v>
      </c>
    </row>
    <row r="14" spans="1:12" x14ac:dyDescent="0.3">
      <c r="A14" t="b">
        <v>0</v>
      </c>
      <c r="B14" t="b">
        <v>0</v>
      </c>
      <c r="C14" t="b">
        <v>1</v>
      </c>
      <c r="D14" t="b">
        <v>1</v>
      </c>
      <c r="E14">
        <v>4.5066000000000002E-2</v>
      </c>
      <c r="F14">
        <v>1898.6637289755299</v>
      </c>
      <c r="G14">
        <v>0.57694321940000004</v>
      </c>
      <c r="H14">
        <v>5</v>
      </c>
    </row>
    <row r="15" spans="1:12" x14ac:dyDescent="0.3">
      <c r="A15" t="b">
        <v>0</v>
      </c>
      <c r="B15" t="b">
        <v>0</v>
      </c>
      <c r="C15" t="b">
        <v>1</v>
      </c>
      <c r="D15" t="b">
        <v>0</v>
      </c>
      <c r="E15">
        <v>7.9880000000000007E-2</v>
      </c>
      <c r="F15">
        <v>1271.9412052</v>
      </c>
      <c r="G15">
        <v>1.9899244</v>
      </c>
      <c r="H15">
        <v>0</v>
      </c>
    </row>
    <row r="16" spans="1:12" x14ac:dyDescent="0.3">
      <c r="A16" t="b">
        <v>0</v>
      </c>
      <c r="B16" t="b">
        <v>0</v>
      </c>
      <c r="C16" t="b">
        <v>0</v>
      </c>
      <c r="D16" t="b">
        <v>1</v>
      </c>
      <c r="E16">
        <v>4.6917800000000003E-2</v>
      </c>
      <c r="F16">
        <v>2229.83490265</v>
      </c>
      <c r="G16">
        <v>0.85819716980000005</v>
      </c>
      <c r="H16">
        <v>2</v>
      </c>
    </row>
    <row r="17" spans="1:8" x14ac:dyDescent="0.3">
      <c r="A17" t="b">
        <v>0</v>
      </c>
      <c r="B17" t="b">
        <v>0</v>
      </c>
      <c r="C17" t="b">
        <v>0</v>
      </c>
      <c r="D17" t="b">
        <v>0</v>
      </c>
      <c r="E17">
        <v>4.1599999999999998E-2</v>
      </c>
      <c r="F17">
        <v>2296.4839999999999</v>
      </c>
      <c r="G17">
        <v>1.1827373098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Prakash, Aditya</dc:creator>
  <cp:lastModifiedBy>Prakash, Aditya</cp:lastModifiedBy>
  <dcterms:created xsi:type="dcterms:W3CDTF">2026-02-12T16:18:56Z</dcterms:created>
  <dcterms:modified xsi:type="dcterms:W3CDTF">2026-02-12T16:47:16Z</dcterms:modified>
</cp:coreProperties>
</file>