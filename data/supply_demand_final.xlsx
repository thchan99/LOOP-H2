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tvault-my.sharepoint.com/personal/aprakash320_gatech_edu/Documents/Documents/LOOP-H2/SGC04_LOOPH2/data/"/>
    </mc:Choice>
  </mc:AlternateContent>
  <xr:revisionPtr revIDLastSave="8" documentId="8_{AEDED47E-5F87-4FFA-9443-ACE284E5DE7B}" xr6:coauthVersionLast="47" xr6:coauthVersionMax="47" xr10:uidLastSave="{4BF81FB6-F0F0-49E2-8DE9-7D33F3214065}"/>
  <bookViews>
    <workbookView xWindow="492" yWindow="2640" windowWidth="23040" windowHeight="12120" firstSheet="2" activeTab="5" xr2:uid="{00000000-000D-0000-FFFF-FFFF00000000}"/>
  </bookViews>
  <sheets>
    <sheet name="all_stops" sheetId="1" r:id="rId1"/>
    <sheet name="truck_stops_only" sheetId="6" r:id="rId2"/>
    <sheet name="state_owned_and_racetrac" sheetId="2" r:id="rId3"/>
    <sheet name="racetrac_and_weigh_stations" sheetId="3" r:id="rId4"/>
    <sheet name="only_trac" sheetId="7" r:id="rId5"/>
    <sheet name="dist_centers" sheetId="5" r:id="rId6"/>
    <sheet name="README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2" i="7"/>
  <c r="D70" i="7"/>
  <c r="D71" i="7"/>
  <c r="D69" i="7"/>
  <c r="D49" i="7"/>
  <c r="D50" i="7"/>
  <c r="D48" i="7"/>
  <c r="D47" i="7"/>
  <c r="D36" i="7"/>
  <c r="D35" i="7"/>
  <c r="D33" i="7"/>
  <c r="D34" i="7"/>
  <c r="D33" i="1" l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32" i="1"/>
  <c r="D3" i="3"/>
  <c r="D104" i="2"/>
  <c r="D105" i="2"/>
  <c r="D106" i="2"/>
  <c r="D103" i="2"/>
  <c r="D86" i="2"/>
  <c r="D87" i="2"/>
  <c r="D88" i="2"/>
  <c r="D89" i="2"/>
  <c r="D90" i="2"/>
  <c r="D91" i="2"/>
  <c r="D92" i="2"/>
  <c r="D93" i="2"/>
  <c r="D94" i="2"/>
  <c r="D95" i="2"/>
  <c r="D96" i="2"/>
  <c r="D97" i="2"/>
  <c r="D85" i="2"/>
  <c r="D79" i="2"/>
  <c r="D80" i="2"/>
  <c r="D81" i="2"/>
  <c r="D82" i="2"/>
  <c r="D83" i="2"/>
  <c r="D84" i="2"/>
  <c r="D78" i="2"/>
  <c r="D72" i="2"/>
  <c r="D73" i="2"/>
  <c r="D74" i="2"/>
  <c r="D75" i="2"/>
  <c r="D76" i="2"/>
  <c r="D77" i="2"/>
  <c r="D71" i="2"/>
  <c r="D59" i="2"/>
  <c r="D60" i="2"/>
  <c r="D61" i="2"/>
  <c r="D62" i="2"/>
  <c r="D63" i="2"/>
  <c r="D64" i="2"/>
  <c r="D65" i="2"/>
  <c r="D66" i="2"/>
  <c r="D67" i="2"/>
  <c r="D68" i="2"/>
  <c r="D69" i="2"/>
  <c r="D70" i="2"/>
  <c r="D58" i="2"/>
  <c r="D102" i="2"/>
  <c r="D101" i="2"/>
  <c r="D100" i="2"/>
  <c r="D99" i="2"/>
  <c r="D9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2" i="2"/>
</calcChain>
</file>

<file path=xl/sharedStrings.xml><?xml version="1.0" encoding="utf-8"?>
<sst xmlns="http://schemas.openxmlformats.org/spreadsheetml/2006/main" count="2620" uniqueCount="249">
  <si>
    <t>location_name</t>
  </si>
  <si>
    <t>latitude</t>
  </si>
  <si>
    <t>longitude</t>
  </si>
  <si>
    <t>demand</t>
  </si>
  <si>
    <t>route</t>
  </si>
  <si>
    <t>category</t>
  </si>
  <si>
    <t>Weigh Station</t>
  </si>
  <si>
    <t>I-95</t>
  </si>
  <si>
    <t>truck</t>
  </si>
  <si>
    <t>Welcome Center</t>
  </si>
  <si>
    <t>Circle K</t>
  </si>
  <si>
    <t>Pilot Travel Center</t>
  </si>
  <si>
    <t>Gate Petroleum #209</t>
  </si>
  <si>
    <t>RaceTrac</t>
  </si>
  <si>
    <t>El Cheapo #041</t>
  </si>
  <si>
    <t>Love's Travel Stop ex.90</t>
  </si>
  <si>
    <t>Chevron</t>
  </si>
  <si>
    <t>TA Richmond Hill</t>
  </si>
  <si>
    <t>Savannah Travel Center</t>
  </si>
  <si>
    <t>El Cheapo Fuel Stop #50</t>
  </si>
  <si>
    <t>El Cheapo Fuel Stop #54</t>
  </si>
  <si>
    <t>Rest Area</t>
  </si>
  <si>
    <t>Flying J #627</t>
  </si>
  <si>
    <t>TA Brunswick #258</t>
  </si>
  <si>
    <t>Love's Travel Stop #405</t>
  </si>
  <si>
    <t>Sunshine Travel Plaza</t>
  </si>
  <si>
    <t>Flash Foods #195</t>
  </si>
  <si>
    <t>Patco Energy Express II</t>
  </si>
  <si>
    <t>Kingsland Travel Plaza</t>
  </si>
  <si>
    <t>Petro</t>
  </si>
  <si>
    <t>El Cheapo Ex.3</t>
  </si>
  <si>
    <t>Pilot Travel Center #575</t>
  </si>
  <si>
    <t>Wilco Hess #3060</t>
  </si>
  <si>
    <t>Walthall Oil Co.</t>
  </si>
  <si>
    <t>I-16</t>
  </si>
  <si>
    <t>96 Truck Plaza</t>
  </si>
  <si>
    <t>Citgo Food Mart</t>
  </si>
  <si>
    <t>Love's Travel Stop</t>
  </si>
  <si>
    <t>Jet Food Store</t>
  </si>
  <si>
    <t>Neighbor's Express #30</t>
  </si>
  <si>
    <t>Hop-In #2</t>
  </si>
  <si>
    <t>Friendly Gus #23</t>
  </si>
  <si>
    <t>Red Roof Express</t>
  </si>
  <si>
    <t>Metter BP</t>
  </si>
  <si>
    <t>Jay's Fuel Stop</t>
  </si>
  <si>
    <t>Grady's Truck Stop</t>
  </si>
  <si>
    <t>Po Jo's Travel Plaza</t>
  </si>
  <si>
    <t>El Cheapo #89</t>
  </si>
  <si>
    <t>Flash Foods #251</t>
  </si>
  <si>
    <t>I-75</t>
  </si>
  <si>
    <t xml:space="preserve">Kangaroo Express </t>
  </si>
  <si>
    <t>Cochran's Travel Center</t>
  </si>
  <si>
    <t>Choo Choo Truck Wash Plaza</t>
  </si>
  <si>
    <t>Kangaroo Express #3622</t>
  </si>
  <si>
    <t>Mapco Express #3511</t>
  </si>
  <si>
    <t>Flying J #632</t>
  </si>
  <si>
    <t>Pilot Travel Center #4558</t>
  </si>
  <si>
    <t>QuikTrip</t>
  </si>
  <si>
    <t>Cartersvile Travel Center</t>
  </si>
  <si>
    <t>Gas n Go</t>
  </si>
  <si>
    <t>Kangoroo Express</t>
  </si>
  <si>
    <t>Love's Travel Stop #359</t>
  </si>
  <si>
    <t>Quick Fuel-Clark Howell #2204</t>
  </si>
  <si>
    <t>Patriot's Travel Plaza</t>
  </si>
  <si>
    <t>Fuel Mart #638</t>
  </si>
  <si>
    <t>Walmart Supercenter</t>
  </si>
  <si>
    <t>Neighbor's</t>
  </si>
  <si>
    <t>Liberty Center Texaco</t>
  </si>
  <si>
    <t>Kangoroo Express #3333</t>
  </si>
  <si>
    <t>Wilco Hess #3030</t>
  </si>
  <si>
    <t>Atlanta South Travel Center</t>
  </si>
  <si>
    <t>Hinkle Tire Center</t>
  </si>
  <si>
    <t>Flying J #630</t>
  </si>
  <si>
    <t>Walmart</t>
  </si>
  <si>
    <t>Rumble Road BP</t>
  </si>
  <si>
    <t>Byron Travel Plaza</t>
  </si>
  <si>
    <t>Flash Foods #264</t>
  </si>
  <si>
    <t>Pacific Pride</t>
  </si>
  <si>
    <t>Mini Food</t>
  </si>
  <si>
    <t>Flash Foods</t>
  </si>
  <si>
    <t>All State Truck Stop</t>
  </si>
  <si>
    <t>Pinehurst Travel Center</t>
  </si>
  <si>
    <t>Rachel's BP</t>
  </si>
  <si>
    <t>A1 Truck Stop</t>
  </si>
  <si>
    <t>Khc Food Mart</t>
  </si>
  <si>
    <t>Flash Foods #166</t>
  </si>
  <si>
    <t>Griffin Foods-Shell Travel Plaza</t>
  </si>
  <si>
    <t>Lenox Bp</t>
  </si>
  <si>
    <t>Adel Truck Plaza</t>
  </si>
  <si>
    <t>Big Foot Truck Stop #1</t>
  </si>
  <si>
    <t>Big Foot Travel Center #2</t>
  </si>
  <si>
    <t>Shell</t>
  </si>
  <si>
    <t>Citgo Travel Plaza</t>
  </si>
  <si>
    <t>Lake Park Travel Center</t>
  </si>
  <si>
    <t>Flying J #631</t>
  </si>
  <si>
    <t>I-85</t>
  </si>
  <si>
    <t>Echo Truck Plaza</t>
  </si>
  <si>
    <t>Wilco Hess #3001</t>
  </si>
  <si>
    <t>Flying J #628</t>
  </si>
  <si>
    <t>Petro #377</t>
  </si>
  <si>
    <t>Chester Plaza</t>
  </si>
  <si>
    <t>Commerce Travel Center</t>
  </si>
  <si>
    <t>QuikTrip Travel Center #737</t>
  </si>
  <si>
    <t>Quick Fuel-Norcross #2201</t>
  </si>
  <si>
    <t>QuikTrip Travel Center</t>
  </si>
  <si>
    <t>Blu Truck Stop</t>
  </si>
  <si>
    <t>Fairburn Family Travel Center</t>
  </si>
  <si>
    <t>Greenway Store #612</t>
  </si>
  <si>
    <t>La Grange Travel Center</t>
  </si>
  <si>
    <t>Exit 19 Auto &amp; Truck Plaza</t>
  </si>
  <si>
    <t>Spectrum #45</t>
  </si>
  <si>
    <t>I-20</t>
  </si>
  <si>
    <t>Natiowide Diesel &amp; Gas</t>
  </si>
  <si>
    <t>Newborn Truck Stop</t>
  </si>
  <si>
    <t>Kangaroo</t>
  </si>
  <si>
    <t>Swifti-Texaco Food Mart #7</t>
  </si>
  <si>
    <t>Truckomat</t>
  </si>
  <si>
    <t>Flying J #634</t>
  </si>
  <si>
    <t>Wilco Hess #3010</t>
  </si>
  <si>
    <t>JP Lee Road</t>
  </si>
  <si>
    <t>Sunoco Truck Stop</t>
  </si>
  <si>
    <t>Citgo</t>
  </si>
  <si>
    <t>Turn Out</t>
  </si>
  <si>
    <t>Madison Travel Center</t>
  </si>
  <si>
    <t>Flying J #633</t>
  </si>
  <si>
    <t>T.P.S #8</t>
  </si>
  <si>
    <t>Amazon Fulfillment Center (IXD)</t>
  </si>
  <si>
    <t>Amazon Fulfillment Center (SAV4)</t>
  </si>
  <si>
    <t>Amazon Fulfillment Center (SAV3)</t>
  </si>
  <si>
    <t>Amazon Fulfillment Center (ATL6)</t>
  </si>
  <si>
    <t>Amazon Fulfillment Center (DGE9)</t>
  </si>
  <si>
    <t>Amazon Fulfillment Center  (MGE1)</t>
  </si>
  <si>
    <t>Amazon Fulfillment Center (MGE5)</t>
  </si>
  <si>
    <t>Amazon Fulfillment Center (MGE3)</t>
  </si>
  <si>
    <t>Amazon Fulfillment Center (AGS2)</t>
  </si>
  <si>
    <t>Amazon Fulfillment Center (AGS1)</t>
  </si>
  <si>
    <t>Amazon Fulfillment Center (ATL8)</t>
  </si>
  <si>
    <t>Amazon Fulfillment Center (ATL2)</t>
  </si>
  <si>
    <t>Amazon Fulfillment Center (CSG1)</t>
  </si>
  <si>
    <t>Amazon Fulfillment Center (ATL7)</t>
  </si>
  <si>
    <t>Wal-Mart DC </t>
  </si>
  <si>
    <t>Walmart Stores Inc./Distribution </t>
  </si>
  <si>
    <t>Walmart Stores Inc./Distribution</t>
  </si>
  <si>
    <t>Walmart.com </t>
  </si>
  <si>
    <t>Walmart/Food Distribution Center </t>
  </si>
  <si>
    <t>1888 Mills LLC </t>
  </si>
  <si>
    <t>Academy Sports &amp; Outdoors/Distribution</t>
  </si>
  <si>
    <t>Ace Hardware Corp.   </t>
  </si>
  <si>
    <t>Ace Hardware Corp/Retail Support Center   </t>
  </si>
  <si>
    <t>AGRO Merchants Group   </t>
  </si>
  <si>
    <t>Americold Logistics LLC  </t>
  </si>
  <si>
    <t>APL Logistics Ltd   </t>
  </si>
  <si>
    <t>Autozone Inc. Distribution Center</t>
  </si>
  <si>
    <t>Armlogi   </t>
  </si>
  <si>
    <t>Bennett Distribution Services LLC   </t>
  </si>
  <si>
    <t>Best Buy/Distribution Ctr  </t>
  </si>
  <si>
    <t>BlueLinx Corp   </t>
  </si>
  <si>
    <t>Bluestem Brands   </t>
  </si>
  <si>
    <t>Burlington  </t>
  </si>
  <si>
    <t>Carter's Inc./Distribution Ctr   </t>
  </si>
  <si>
    <t>Czarnowski Display Service Inc.   </t>
  </si>
  <si>
    <t>Dart Container Corp </t>
  </si>
  <si>
    <t>DHL Supply Chain </t>
  </si>
  <si>
    <t>DHL Supply Chain/Clorox Sales Co </t>
  </si>
  <si>
    <t>Dick's Sporting Goods/Distribution Ctr </t>
  </si>
  <si>
    <t>DSC Logistics Inc./Kellogg's </t>
  </si>
  <si>
    <t>DSI Logistics </t>
  </si>
  <si>
    <t>Empire Distributors Inc. </t>
  </si>
  <si>
    <t>Essendant </t>
  </si>
  <si>
    <t>First Quality Baby Products </t>
  </si>
  <si>
    <t>Geodis USA </t>
  </si>
  <si>
    <t>Global Industrial </t>
  </si>
  <si>
    <t>GLOVIS Georgia LLC </t>
  </si>
  <si>
    <t>HD Supply/Distribution </t>
  </si>
  <si>
    <t>Heatcraft Worldwide Refrigeration </t>
  </si>
  <si>
    <t>Herman Kay Co. Inc./Spectrum Distribution </t>
  </si>
  <si>
    <t>Holman Logistics Inc/GE Appliances </t>
  </si>
  <si>
    <t>Homegoods/Distribution Center </t>
  </si>
  <si>
    <t>HWC Logistics Inc. </t>
  </si>
  <si>
    <t>IKEA/Distribution Center</t>
  </si>
  <si>
    <t>JC Penney Co. Distribution Center </t>
  </si>
  <si>
    <t>JELD-WEN Door Systems </t>
  </si>
  <si>
    <t>Kellogg’s </t>
  </si>
  <si>
    <t>Kenco Logistic Services </t>
  </si>
  <si>
    <t>Keystone Automotive Operations Inc. </t>
  </si>
  <si>
    <t>Kohl's Corp/Distribution Center </t>
  </si>
  <si>
    <t>Lecangs </t>
  </si>
  <si>
    <t>Lineage Logistics </t>
  </si>
  <si>
    <t>Lowe's Home Improvement Warehouse/Dist </t>
  </si>
  <si>
    <t>Macy's Logistics and Operations</t>
  </si>
  <si>
    <t>Marshalls/Distribution Center </t>
  </si>
  <si>
    <t>Medline Industries Inc. </t>
  </si>
  <si>
    <t>Mizuno USA Inc./Distribution </t>
  </si>
  <si>
    <t>Nestle Logistics </t>
  </si>
  <si>
    <t>NewCold </t>
  </si>
  <si>
    <t>NFI Industries Inc </t>
  </si>
  <si>
    <t>NOTS Logistics LLC </t>
  </si>
  <si>
    <t>Office Depot/Distribution Center</t>
  </si>
  <si>
    <t>Ollie's Bargain Outlet/Distribution</t>
  </si>
  <si>
    <t>Pactiv LLC/Regional Mixing Center </t>
  </si>
  <si>
    <t>Perry Ellis International </t>
  </si>
  <si>
    <t>PETCO/Distribution Center</t>
  </si>
  <si>
    <t>PetSmart/Distribution </t>
  </si>
  <si>
    <t>Port City Logistics Inc. </t>
  </si>
  <si>
    <t>Procter &amp; Gamble (P&amp;G) Co. </t>
  </si>
  <si>
    <t>Publix/Distribution &amp; Manufacturing </t>
  </si>
  <si>
    <t>PVH Corp. </t>
  </si>
  <si>
    <t>Radial, Inc. </t>
  </si>
  <si>
    <t>Readerlink Distribution Services LLC </t>
  </si>
  <si>
    <t>Ryder System</t>
  </si>
  <si>
    <t>Ryerson Inc. </t>
  </si>
  <si>
    <t>Saddle Creek Logistics Services </t>
  </si>
  <si>
    <t>Saddle Creek Logistics Svcs/Del Monte </t>
  </si>
  <si>
    <t>Serena and Lily </t>
  </si>
  <si>
    <t>Shaw Industries </t>
  </si>
  <si>
    <t>Sherwin-Williams Co/Distribution</t>
  </si>
  <si>
    <t>Ship8 Inc</t>
  </si>
  <si>
    <t>Stitch Fix </t>
  </si>
  <si>
    <t>Sugar Foods Corp. </t>
  </si>
  <si>
    <t>Sunland Logistics Solutions </t>
  </si>
  <si>
    <t>Surya Inc.</t>
  </si>
  <si>
    <t>syncreon </t>
  </si>
  <si>
    <t>Sysco Atlanta</t>
  </si>
  <si>
    <t>Target </t>
  </si>
  <si>
    <t>Target Corp/Distribution Center </t>
  </si>
  <si>
    <t>Target Corp/Distribution Center</t>
  </si>
  <si>
    <t>The Carlstar Group LLC</t>
  </si>
  <si>
    <t>The Shippers Group </t>
  </si>
  <si>
    <t>Toyo Tire North America Manufacturing</t>
  </si>
  <si>
    <t>Tory Burch LLC/Distribution Center </t>
  </si>
  <si>
    <t>Tractor Supply Co/Distribution Ctr </t>
  </si>
  <si>
    <t>True Value Co/Distribution Ctr </t>
  </si>
  <si>
    <t>ULINE Inc. </t>
  </si>
  <si>
    <t>UPS Distribution Facility</t>
  </si>
  <si>
    <t>Union Compress Warehouse </t>
  </si>
  <si>
    <t>Variety Wholesalers </t>
  </si>
  <si>
    <t>Walgreens Co/Distribution Center </t>
  </si>
  <si>
    <t>West Logistics Group </t>
  </si>
  <si>
    <t>Win.IT America Inc. </t>
  </si>
  <si>
    <t>Yamaha Motor Manufacturing Corp </t>
  </si>
  <si>
    <t>name of location</t>
  </si>
  <si>
    <t>-</t>
  </si>
  <si>
    <t>AADT for trucks</t>
  </si>
  <si>
    <t>Nearest interstate</t>
  </si>
  <si>
    <t>type of location</t>
  </si>
  <si>
    <t>kg_H2/day Dist. Cent.</t>
  </si>
  <si>
    <t>amazon</t>
  </si>
  <si>
    <t>walmart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</si>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</sst>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name val="Verdana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7"/>
  <sheetViews>
    <sheetView workbookViewId="0">
      <selection activeCell="H22" sqref="H22"/>
    </sheetView>
  </sheetViews>
  <sheetFormatPr defaultColWidth="8.88671875" defaultRowHeight="14.4" x14ac:dyDescent="0.3"/>
  <cols>
    <col min="1" max="1" width="28.44140625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2" t="s">
        <v>6</v>
      </c>
      <c r="B2" s="3">
        <v>32.219580999999998</v>
      </c>
      <c r="C2" s="3">
        <v>-81.172324000000003</v>
      </c>
      <c r="D2" s="1">
        <f>ROUNDUP(15425/30,0)</f>
        <v>515</v>
      </c>
      <c r="E2" s="2" t="s">
        <v>7</v>
      </c>
      <c r="F2" s="1" t="s">
        <v>8</v>
      </c>
    </row>
    <row r="3" spans="1:6" x14ac:dyDescent="0.3">
      <c r="A3" s="2" t="s">
        <v>9</v>
      </c>
      <c r="B3" s="3">
        <v>32.216994</v>
      </c>
      <c r="C3" s="3">
        <v>-81.174780999999996</v>
      </c>
      <c r="D3" s="1">
        <f>ROUNDUP(15425/30,0)</f>
        <v>515</v>
      </c>
      <c r="E3" s="2" t="s">
        <v>7</v>
      </c>
      <c r="F3" s="1" t="s">
        <v>8</v>
      </c>
    </row>
    <row r="4" spans="1:6" x14ac:dyDescent="0.3">
      <c r="A4" s="2" t="s">
        <v>10</v>
      </c>
      <c r="B4" s="3">
        <v>32.194144999999999</v>
      </c>
      <c r="C4" s="3">
        <v>-81.195218999999994</v>
      </c>
      <c r="D4" s="1">
        <f>ROUNDUP(15425/30,0)</f>
        <v>515</v>
      </c>
      <c r="E4" s="2" t="s">
        <v>7</v>
      </c>
      <c r="F4" s="1" t="s">
        <v>8</v>
      </c>
    </row>
    <row r="5" spans="1:6" x14ac:dyDescent="0.3">
      <c r="A5" s="2" t="s">
        <v>11</v>
      </c>
      <c r="B5" s="3">
        <v>32.188470000000002</v>
      </c>
      <c r="C5" s="3">
        <v>-81.193889999999996</v>
      </c>
      <c r="D5" s="1">
        <f>ROUNDUP(15425/30,0)</f>
        <v>515</v>
      </c>
      <c r="E5" s="2" t="s">
        <v>7</v>
      </c>
      <c r="F5" s="1" t="s">
        <v>8</v>
      </c>
    </row>
    <row r="6" spans="1:6" x14ac:dyDescent="0.3">
      <c r="A6" s="2" t="s">
        <v>12</v>
      </c>
      <c r="B6" s="3">
        <v>32.107514999999999</v>
      </c>
      <c r="C6" s="3">
        <v>-81.229046999999994</v>
      </c>
      <c r="D6" s="1">
        <f>ROUNDUP(15425/30,0)</f>
        <v>515</v>
      </c>
      <c r="E6" s="2" t="s">
        <v>7</v>
      </c>
      <c r="F6" s="1" t="s">
        <v>8</v>
      </c>
    </row>
    <row r="7" spans="1:6" x14ac:dyDescent="0.3">
      <c r="A7" s="1" t="s">
        <v>13</v>
      </c>
      <c r="B7" s="1">
        <v>32.09225</v>
      </c>
      <c r="C7" s="1">
        <v>-81.196349999999995</v>
      </c>
      <c r="D7" s="1">
        <f>ROUNDUP(15425/30,0)+408</f>
        <v>923</v>
      </c>
      <c r="E7" s="1" t="s">
        <v>7</v>
      </c>
      <c r="F7" s="1" t="s">
        <v>8</v>
      </c>
    </row>
    <row r="8" spans="1:6" x14ac:dyDescent="0.3">
      <c r="A8" s="2" t="s">
        <v>14</v>
      </c>
      <c r="B8" s="3">
        <v>32.004966000000003</v>
      </c>
      <c r="C8" s="3">
        <v>-81.281952000000004</v>
      </c>
      <c r="D8" s="1">
        <f t="shared" ref="D8:D31" si="0">ROUNDUP(15425/30,0)</f>
        <v>515</v>
      </c>
      <c r="E8" s="2" t="s">
        <v>7</v>
      </c>
      <c r="F8" s="1" t="s">
        <v>8</v>
      </c>
    </row>
    <row r="9" spans="1:6" x14ac:dyDescent="0.3">
      <c r="A9" s="2" t="s">
        <v>15</v>
      </c>
      <c r="B9" s="3">
        <v>31.961281</v>
      </c>
      <c r="C9" s="3">
        <v>-81.330957999999995</v>
      </c>
      <c r="D9" s="1">
        <f t="shared" si="0"/>
        <v>515</v>
      </c>
      <c r="E9" s="2" t="s">
        <v>7</v>
      </c>
      <c r="F9" s="1" t="s">
        <v>8</v>
      </c>
    </row>
    <row r="10" spans="1:6" x14ac:dyDescent="0.3">
      <c r="A10" s="2" t="s">
        <v>16</v>
      </c>
      <c r="B10" s="3">
        <v>31.937892000000002</v>
      </c>
      <c r="C10" s="3">
        <v>-81.308159000000003</v>
      </c>
      <c r="D10" s="1">
        <f t="shared" si="0"/>
        <v>515</v>
      </c>
      <c r="E10" s="2" t="s">
        <v>7</v>
      </c>
      <c r="F10" s="1" t="s">
        <v>8</v>
      </c>
    </row>
    <row r="11" spans="1:6" x14ac:dyDescent="0.3">
      <c r="A11" s="2" t="s">
        <v>17</v>
      </c>
      <c r="B11" s="3">
        <v>31.926997</v>
      </c>
      <c r="C11" s="3">
        <v>-81.330799999999996</v>
      </c>
      <c r="D11" s="1">
        <f t="shared" si="0"/>
        <v>515</v>
      </c>
      <c r="E11" s="2" t="s">
        <v>7</v>
      </c>
      <c r="F11" s="1" t="s">
        <v>8</v>
      </c>
    </row>
    <row r="12" spans="1:6" x14ac:dyDescent="0.3">
      <c r="A12" s="2" t="s">
        <v>18</v>
      </c>
      <c r="B12" s="3">
        <v>31.924689999999998</v>
      </c>
      <c r="C12" s="3">
        <v>-81.333551999999997</v>
      </c>
      <c r="D12" s="1">
        <f t="shared" si="0"/>
        <v>515</v>
      </c>
      <c r="E12" s="2" t="s">
        <v>7</v>
      </c>
      <c r="F12" s="1" t="s">
        <v>8</v>
      </c>
    </row>
    <row r="13" spans="1:6" x14ac:dyDescent="0.3">
      <c r="A13" s="2" t="s">
        <v>19</v>
      </c>
      <c r="B13" s="3">
        <v>31.780294999999999</v>
      </c>
      <c r="C13" s="3">
        <v>-81.382587000000001</v>
      </c>
      <c r="D13" s="1">
        <f t="shared" si="0"/>
        <v>515</v>
      </c>
      <c r="E13" s="2" t="s">
        <v>7</v>
      </c>
      <c r="F13" s="1" t="s">
        <v>8</v>
      </c>
    </row>
    <row r="14" spans="1:6" x14ac:dyDescent="0.3">
      <c r="A14" s="2" t="s">
        <v>6</v>
      </c>
      <c r="B14" s="3">
        <v>31.477450000000001</v>
      </c>
      <c r="C14" s="3">
        <v>-81.446815999999998</v>
      </c>
      <c r="D14" s="1">
        <f t="shared" si="0"/>
        <v>515</v>
      </c>
      <c r="E14" s="2" t="s">
        <v>7</v>
      </c>
      <c r="F14" s="1" t="s">
        <v>8</v>
      </c>
    </row>
    <row r="15" spans="1:6" x14ac:dyDescent="0.3">
      <c r="A15" s="2" t="s">
        <v>20</v>
      </c>
      <c r="B15" s="3">
        <v>31.398484</v>
      </c>
      <c r="C15" s="3">
        <v>-81.450276000000002</v>
      </c>
      <c r="D15" s="1">
        <f t="shared" si="0"/>
        <v>515</v>
      </c>
      <c r="E15" s="2" t="s">
        <v>7</v>
      </c>
      <c r="F15" s="1" t="s">
        <v>8</v>
      </c>
    </row>
    <row r="16" spans="1:6" x14ac:dyDescent="0.3">
      <c r="A16" s="2" t="s">
        <v>21</v>
      </c>
      <c r="B16" s="3">
        <v>31.280127</v>
      </c>
      <c r="C16" s="3">
        <v>-81.490369999999999</v>
      </c>
      <c r="D16" s="1">
        <f t="shared" si="0"/>
        <v>515</v>
      </c>
      <c r="E16" s="2" t="s">
        <v>7</v>
      </c>
      <c r="F16" s="1" t="s">
        <v>8</v>
      </c>
    </row>
    <row r="17" spans="1:6" x14ac:dyDescent="0.3">
      <c r="A17" s="1" t="s">
        <v>13</v>
      </c>
      <c r="B17" s="1">
        <v>31.231809999999999</v>
      </c>
      <c r="C17" s="1">
        <v>-81.498059999999995</v>
      </c>
      <c r="D17" s="1">
        <f t="shared" si="0"/>
        <v>515</v>
      </c>
      <c r="E17" s="1" t="s">
        <v>7</v>
      </c>
      <c r="F17" s="1" t="s">
        <v>8</v>
      </c>
    </row>
    <row r="18" spans="1:6" x14ac:dyDescent="0.3">
      <c r="A18" s="1" t="s">
        <v>13</v>
      </c>
      <c r="B18" s="1">
        <v>31.219480000000001</v>
      </c>
      <c r="C18" s="1">
        <v>-81.518739999999994</v>
      </c>
      <c r="D18" s="1">
        <f t="shared" si="0"/>
        <v>515</v>
      </c>
      <c r="E18" s="1" t="s">
        <v>7</v>
      </c>
      <c r="F18" s="1" t="s">
        <v>8</v>
      </c>
    </row>
    <row r="19" spans="1:6" x14ac:dyDescent="0.3">
      <c r="A19" s="2" t="s">
        <v>22</v>
      </c>
      <c r="B19" s="3">
        <v>31.139807999999999</v>
      </c>
      <c r="C19" s="3">
        <v>-81.579847999999998</v>
      </c>
      <c r="D19" s="1">
        <f t="shared" si="0"/>
        <v>515</v>
      </c>
      <c r="E19" s="2" t="s">
        <v>7</v>
      </c>
      <c r="F19" s="1" t="s">
        <v>8</v>
      </c>
    </row>
    <row r="20" spans="1:6" x14ac:dyDescent="0.3">
      <c r="A20" s="2" t="s">
        <v>23</v>
      </c>
      <c r="B20" s="3">
        <v>31.138100000000001</v>
      </c>
      <c r="C20" s="3">
        <v>-81.579899999999995</v>
      </c>
      <c r="D20" s="1">
        <f t="shared" si="0"/>
        <v>515</v>
      </c>
      <c r="E20" s="2" t="s">
        <v>7</v>
      </c>
      <c r="F20" s="1" t="s">
        <v>8</v>
      </c>
    </row>
    <row r="21" spans="1:6" x14ac:dyDescent="0.3">
      <c r="A21" s="2" t="s">
        <v>24</v>
      </c>
      <c r="B21" s="3">
        <v>31.136768</v>
      </c>
      <c r="C21" s="3">
        <v>-81.572261999999995</v>
      </c>
      <c r="D21" s="1">
        <f t="shared" si="0"/>
        <v>515</v>
      </c>
      <c r="E21" s="2" t="s">
        <v>7</v>
      </c>
      <c r="F21" s="1" t="s">
        <v>8</v>
      </c>
    </row>
    <row r="22" spans="1:6" x14ac:dyDescent="0.3">
      <c r="A22" s="2" t="s">
        <v>25</v>
      </c>
      <c r="B22" s="3">
        <v>30.947358999999999</v>
      </c>
      <c r="C22" s="3">
        <v>-81.689486000000002</v>
      </c>
      <c r="D22" s="1">
        <f t="shared" si="0"/>
        <v>515</v>
      </c>
      <c r="E22" s="2" t="s">
        <v>7</v>
      </c>
      <c r="F22" s="1" t="s">
        <v>8</v>
      </c>
    </row>
    <row r="23" spans="1:6" x14ac:dyDescent="0.3">
      <c r="A23" s="2" t="s">
        <v>26</v>
      </c>
      <c r="B23" s="3">
        <v>30.849391000000001</v>
      </c>
      <c r="C23" s="3">
        <v>-81.669031000000004</v>
      </c>
      <c r="D23" s="1">
        <f t="shared" si="0"/>
        <v>515</v>
      </c>
      <c r="E23" s="2" t="s">
        <v>7</v>
      </c>
      <c r="F23" s="1" t="s">
        <v>8</v>
      </c>
    </row>
    <row r="24" spans="1:6" x14ac:dyDescent="0.3">
      <c r="A24" s="2" t="s">
        <v>27</v>
      </c>
      <c r="B24" s="3">
        <v>30.826476</v>
      </c>
      <c r="C24" s="3">
        <v>-81.661366000000001</v>
      </c>
      <c r="D24" s="1">
        <f t="shared" si="0"/>
        <v>515</v>
      </c>
      <c r="E24" s="2" t="s">
        <v>7</v>
      </c>
      <c r="F24" s="1" t="s">
        <v>8</v>
      </c>
    </row>
    <row r="25" spans="1:6" x14ac:dyDescent="0.3">
      <c r="A25" s="2" t="s">
        <v>28</v>
      </c>
      <c r="B25" s="3">
        <v>30.823611</v>
      </c>
      <c r="C25" s="3">
        <v>-81.662653000000006</v>
      </c>
      <c r="D25" s="1">
        <f t="shared" si="0"/>
        <v>515</v>
      </c>
      <c r="E25" s="2" t="s">
        <v>7</v>
      </c>
      <c r="F25" s="1" t="s">
        <v>8</v>
      </c>
    </row>
    <row r="26" spans="1:6" x14ac:dyDescent="0.3">
      <c r="A26" s="2" t="s">
        <v>29</v>
      </c>
      <c r="B26" s="3">
        <v>30.794566</v>
      </c>
      <c r="C26" s="3">
        <v>-81.666139999999999</v>
      </c>
      <c r="D26" s="1">
        <f t="shared" si="0"/>
        <v>515</v>
      </c>
      <c r="E26" s="2" t="s">
        <v>7</v>
      </c>
      <c r="F26" s="1" t="s">
        <v>8</v>
      </c>
    </row>
    <row r="27" spans="1:6" x14ac:dyDescent="0.3">
      <c r="A27" s="2" t="s">
        <v>30</v>
      </c>
      <c r="B27" s="3">
        <v>30.789687000000001</v>
      </c>
      <c r="C27" s="3">
        <v>-81.655653999999998</v>
      </c>
      <c r="D27" s="1">
        <f t="shared" si="0"/>
        <v>515</v>
      </c>
      <c r="E27" s="2" t="s">
        <v>7</v>
      </c>
      <c r="F27" s="1" t="s">
        <v>8</v>
      </c>
    </row>
    <row r="28" spans="1:6" x14ac:dyDescent="0.3">
      <c r="A28" s="1" t="s">
        <v>13</v>
      </c>
      <c r="B28" s="1">
        <v>30.77919</v>
      </c>
      <c r="C28" s="1">
        <v>-81.622380000000007</v>
      </c>
      <c r="D28" s="1">
        <f t="shared" si="0"/>
        <v>515</v>
      </c>
      <c r="E28" s="1" t="s">
        <v>7</v>
      </c>
      <c r="F28" s="1" t="s">
        <v>8</v>
      </c>
    </row>
    <row r="29" spans="1:6" x14ac:dyDescent="0.3">
      <c r="A29" s="2" t="s">
        <v>31</v>
      </c>
      <c r="B29" s="3">
        <v>30.760902999999999</v>
      </c>
      <c r="C29" s="3">
        <v>-81.649146000000002</v>
      </c>
      <c r="D29" s="1">
        <f t="shared" si="0"/>
        <v>515</v>
      </c>
      <c r="E29" s="2" t="s">
        <v>7</v>
      </c>
      <c r="F29" s="1" t="s">
        <v>8</v>
      </c>
    </row>
    <row r="30" spans="1:6" x14ac:dyDescent="0.3">
      <c r="A30" s="2" t="s">
        <v>32</v>
      </c>
      <c r="B30" s="3">
        <v>30.759326999999999</v>
      </c>
      <c r="C30" s="3">
        <v>-81.656290999999996</v>
      </c>
      <c r="D30" s="1">
        <f t="shared" si="0"/>
        <v>515</v>
      </c>
      <c r="E30" s="2" t="s">
        <v>7</v>
      </c>
      <c r="F30" s="1" t="s">
        <v>8</v>
      </c>
    </row>
    <row r="31" spans="1:6" x14ac:dyDescent="0.3">
      <c r="A31" s="2" t="s">
        <v>9</v>
      </c>
      <c r="B31" s="3">
        <v>30.753822</v>
      </c>
      <c r="C31" s="3">
        <v>-81.650143</v>
      </c>
      <c r="D31" s="1">
        <f t="shared" si="0"/>
        <v>515</v>
      </c>
      <c r="E31" s="2" t="s">
        <v>7</v>
      </c>
      <c r="F31" s="1" t="s">
        <v>8</v>
      </c>
    </row>
    <row r="32" spans="1:6" x14ac:dyDescent="0.3">
      <c r="A32" s="2" t="s">
        <v>33</v>
      </c>
      <c r="B32" s="3">
        <v>32.795715999999999</v>
      </c>
      <c r="C32" s="3">
        <v>-83.569445999999999</v>
      </c>
      <c r="D32" s="1">
        <f>ROUNDUP(8970/22,0)</f>
        <v>408</v>
      </c>
      <c r="E32" s="2" t="s">
        <v>34</v>
      </c>
      <c r="F32" s="1" t="s">
        <v>8</v>
      </c>
    </row>
    <row r="33" spans="1:6" x14ac:dyDescent="0.3">
      <c r="A33" s="2" t="s">
        <v>35</v>
      </c>
      <c r="B33" s="3">
        <v>32.620404000000001</v>
      </c>
      <c r="C33" s="3">
        <v>-83.370823000000001</v>
      </c>
      <c r="D33" s="1">
        <f t="shared" ref="D33:D53" si="1">ROUNDUP(8970/22,0)</f>
        <v>408</v>
      </c>
      <c r="E33" s="2" t="s">
        <v>34</v>
      </c>
      <c r="F33" s="1" t="s">
        <v>8</v>
      </c>
    </row>
    <row r="34" spans="1:6" x14ac:dyDescent="0.3">
      <c r="A34" s="2" t="s">
        <v>36</v>
      </c>
      <c r="B34" s="3">
        <v>32.626064999999997</v>
      </c>
      <c r="C34" s="3">
        <v>-83.369846999999993</v>
      </c>
      <c r="D34" s="1">
        <f t="shared" si="1"/>
        <v>408</v>
      </c>
      <c r="E34" s="2" t="s">
        <v>34</v>
      </c>
      <c r="F34" s="1" t="s">
        <v>8</v>
      </c>
    </row>
    <row r="35" spans="1:6" x14ac:dyDescent="0.3">
      <c r="A35" s="2" t="s">
        <v>21</v>
      </c>
      <c r="B35" s="3">
        <v>32.508495000000003</v>
      </c>
      <c r="C35" s="3">
        <v>-83.048249999999996</v>
      </c>
      <c r="D35" s="1">
        <f t="shared" si="1"/>
        <v>408</v>
      </c>
      <c r="E35" s="2" t="s">
        <v>34</v>
      </c>
      <c r="F35" s="1" t="s">
        <v>8</v>
      </c>
    </row>
    <row r="36" spans="1:6" x14ac:dyDescent="0.3">
      <c r="A36" s="2" t="s">
        <v>21</v>
      </c>
      <c r="B36" s="3">
        <v>32.505690000000001</v>
      </c>
      <c r="C36" s="3">
        <v>-83.017962999999995</v>
      </c>
      <c r="D36" s="1">
        <f t="shared" si="1"/>
        <v>408</v>
      </c>
      <c r="E36" s="2" t="s">
        <v>34</v>
      </c>
      <c r="F36" s="1" t="s">
        <v>8</v>
      </c>
    </row>
    <row r="37" spans="1:6" x14ac:dyDescent="0.3">
      <c r="A37" s="2" t="s">
        <v>37</v>
      </c>
      <c r="B37" s="3">
        <v>32.495341000000003</v>
      </c>
      <c r="C37" s="3">
        <v>-82.981005999999994</v>
      </c>
      <c r="D37" s="1">
        <f t="shared" si="1"/>
        <v>408</v>
      </c>
      <c r="E37" s="2" t="s">
        <v>34</v>
      </c>
      <c r="F37" s="1" t="s">
        <v>8</v>
      </c>
    </row>
    <row r="38" spans="1:6" x14ac:dyDescent="0.3">
      <c r="A38" s="1" t="s">
        <v>13</v>
      </c>
      <c r="B38" s="1">
        <v>32.484335877252697</v>
      </c>
      <c r="C38" s="1">
        <v>-82.936004647322406</v>
      </c>
      <c r="D38" s="1">
        <f t="shared" si="1"/>
        <v>408</v>
      </c>
      <c r="E38" s="1" t="s">
        <v>34</v>
      </c>
      <c r="F38" s="1" t="s">
        <v>8</v>
      </c>
    </row>
    <row r="39" spans="1:6" x14ac:dyDescent="0.3">
      <c r="A39" s="2" t="s">
        <v>11</v>
      </c>
      <c r="B39" s="3">
        <v>32.489961000000001</v>
      </c>
      <c r="C39" s="3">
        <v>-82.933501000000007</v>
      </c>
      <c r="D39" s="1">
        <f t="shared" si="1"/>
        <v>408</v>
      </c>
      <c r="E39" s="2" t="s">
        <v>34</v>
      </c>
      <c r="F39" s="1" t="s">
        <v>8</v>
      </c>
    </row>
    <row r="40" spans="1:6" x14ac:dyDescent="0.3">
      <c r="A40" s="2" t="s">
        <v>38</v>
      </c>
      <c r="B40" s="3">
        <v>32.490583000000001</v>
      </c>
      <c r="C40" s="3">
        <v>-82.933188999999999</v>
      </c>
      <c r="D40" s="1">
        <f t="shared" si="1"/>
        <v>408</v>
      </c>
      <c r="E40" s="2" t="s">
        <v>34</v>
      </c>
      <c r="F40" s="1" t="s">
        <v>8</v>
      </c>
    </row>
    <row r="41" spans="1:6" x14ac:dyDescent="0.3">
      <c r="A41" s="2" t="s">
        <v>39</v>
      </c>
      <c r="B41" s="3">
        <v>32.493774000000002</v>
      </c>
      <c r="C41" s="3">
        <v>-82.930344000000005</v>
      </c>
      <c r="D41" s="1">
        <f t="shared" si="1"/>
        <v>408</v>
      </c>
      <c r="E41" s="2" t="s">
        <v>34</v>
      </c>
      <c r="F41" s="1" t="s">
        <v>8</v>
      </c>
    </row>
    <row r="42" spans="1:6" x14ac:dyDescent="0.3">
      <c r="A42" s="2" t="s">
        <v>40</v>
      </c>
      <c r="B42" s="3">
        <v>32.542369000000001</v>
      </c>
      <c r="C42" s="3">
        <v>-82.897754000000006</v>
      </c>
      <c r="D42" s="1">
        <f t="shared" si="1"/>
        <v>408</v>
      </c>
      <c r="E42" s="2" t="s">
        <v>34</v>
      </c>
      <c r="F42" s="1" t="s">
        <v>8</v>
      </c>
    </row>
    <row r="43" spans="1:6" x14ac:dyDescent="0.3">
      <c r="A43" s="2" t="s">
        <v>41</v>
      </c>
      <c r="B43" s="3">
        <v>32.482776999999999</v>
      </c>
      <c r="C43" s="3">
        <v>-82.896039999999999</v>
      </c>
      <c r="D43" s="1">
        <f t="shared" si="1"/>
        <v>408</v>
      </c>
      <c r="E43" s="2" t="s">
        <v>34</v>
      </c>
      <c r="F43" s="1" t="s">
        <v>8</v>
      </c>
    </row>
    <row r="44" spans="1:6" x14ac:dyDescent="0.3">
      <c r="A44" s="2" t="s">
        <v>42</v>
      </c>
      <c r="B44" s="3">
        <v>32.403638000000001</v>
      </c>
      <c r="C44" s="3">
        <v>-82.304924</v>
      </c>
      <c r="D44" s="1">
        <f t="shared" si="1"/>
        <v>408</v>
      </c>
      <c r="E44" s="2" t="s">
        <v>34</v>
      </c>
      <c r="F44" s="1" t="s">
        <v>8</v>
      </c>
    </row>
    <row r="45" spans="1:6" x14ac:dyDescent="0.3">
      <c r="A45" s="2" t="s">
        <v>43</v>
      </c>
      <c r="B45" s="3">
        <v>32.371406999999998</v>
      </c>
      <c r="C45" s="3">
        <v>-82.165028000000007</v>
      </c>
      <c r="D45" s="1">
        <f t="shared" si="1"/>
        <v>408</v>
      </c>
      <c r="E45" s="2" t="s">
        <v>34</v>
      </c>
      <c r="F45" s="1" t="s">
        <v>8</v>
      </c>
    </row>
    <row r="46" spans="1:6" x14ac:dyDescent="0.3">
      <c r="A46" s="1" t="s">
        <v>13</v>
      </c>
      <c r="B46" s="1">
        <v>32.373220000000003</v>
      </c>
      <c r="C46" s="1">
        <v>-82.072730000000007</v>
      </c>
      <c r="D46" s="1">
        <f t="shared" si="1"/>
        <v>408</v>
      </c>
      <c r="E46" s="1" t="s">
        <v>34</v>
      </c>
      <c r="F46" s="1" t="s">
        <v>8</v>
      </c>
    </row>
    <row r="47" spans="1:6" x14ac:dyDescent="0.3">
      <c r="A47" s="2" t="s">
        <v>44</v>
      </c>
      <c r="B47" s="3">
        <v>32.379325000000001</v>
      </c>
      <c r="C47" s="3">
        <v>-82.061931000000001</v>
      </c>
      <c r="D47" s="1">
        <f t="shared" si="1"/>
        <v>408</v>
      </c>
      <c r="E47" s="2" t="s">
        <v>34</v>
      </c>
      <c r="F47" s="1" t="s">
        <v>8</v>
      </c>
    </row>
    <row r="48" spans="1:6" x14ac:dyDescent="0.3">
      <c r="A48" s="2" t="s">
        <v>45</v>
      </c>
      <c r="B48" s="3">
        <v>32.33587</v>
      </c>
      <c r="C48" s="3">
        <v>-81.952149000000006</v>
      </c>
      <c r="D48" s="1">
        <f t="shared" si="1"/>
        <v>408</v>
      </c>
      <c r="E48" s="2" t="s">
        <v>34</v>
      </c>
      <c r="F48" s="1" t="s">
        <v>8</v>
      </c>
    </row>
    <row r="49" spans="1:6" x14ac:dyDescent="0.3">
      <c r="A49" s="2" t="s">
        <v>46</v>
      </c>
      <c r="B49" s="3">
        <v>32.312271000000003</v>
      </c>
      <c r="C49" s="3">
        <v>-81.875567000000004</v>
      </c>
      <c r="D49" s="1">
        <f t="shared" si="1"/>
        <v>408</v>
      </c>
      <c r="E49" s="2" t="s">
        <v>34</v>
      </c>
      <c r="F49" s="1" t="s">
        <v>8</v>
      </c>
    </row>
    <row r="50" spans="1:6" x14ac:dyDescent="0.3">
      <c r="A50" s="2" t="s">
        <v>47</v>
      </c>
      <c r="B50" s="3">
        <v>32.302835000000002</v>
      </c>
      <c r="C50" s="3">
        <v>-81.873427000000007</v>
      </c>
      <c r="D50" s="1">
        <f t="shared" si="1"/>
        <v>408</v>
      </c>
      <c r="E50" s="2" t="s">
        <v>34</v>
      </c>
      <c r="F50" s="1" t="s">
        <v>8</v>
      </c>
    </row>
    <row r="51" spans="1:6" x14ac:dyDescent="0.3">
      <c r="A51" s="2" t="s">
        <v>48</v>
      </c>
      <c r="B51" s="3">
        <v>32.417029999999997</v>
      </c>
      <c r="C51" s="3">
        <v>-81.798899000000006</v>
      </c>
      <c r="D51" s="1">
        <f t="shared" si="1"/>
        <v>408</v>
      </c>
      <c r="E51" s="2" t="s">
        <v>34</v>
      </c>
      <c r="F51" s="1" t="s">
        <v>8</v>
      </c>
    </row>
    <row r="52" spans="1:6" x14ac:dyDescent="0.3">
      <c r="A52" s="2" t="s">
        <v>6</v>
      </c>
      <c r="B52" s="3">
        <v>32.167738</v>
      </c>
      <c r="C52" s="3">
        <v>-81.443324000000004</v>
      </c>
      <c r="D52" s="1">
        <f t="shared" si="1"/>
        <v>408</v>
      </c>
      <c r="E52" s="2" t="s">
        <v>34</v>
      </c>
      <c r="F52" s="1" t="s">
        <v>8</v>
      </c>
    </row>
    <row r="53" spans="1:6" x14ac:dyDescent="0.3">
      <c r="A53" s="2" t="s">
        <v>11</v>
      </c>
      <c r="B53" s="3">
        <v>32.072355000000002</v>
      </c>
      <c r="C53" s="3">
        <v>-81.200294</v>
      </c>
      <c r="D53" s="1">
        <f t="shared" si="1"/>
        <v>408</v>
      </c>
      <c r="E53" s="2" t="s">
        <v>34</v>
      </c>
      <c r="F53" s="1" t="s">
        <v>8</v>
      </c>
    </row>
    <row r="54" spans="1:6" x14ac:dyDescent="0.3">
      <c r="A54" s="2" t="s">
        <v>9</v>
      </c>
      <c r="B54" s="3">
        <v>34.948822999999997</v>
      </c>
      <c r="C54" s="3">
        <v>-85.176829999999995</v>
      </c>
      <c r="D54" s="1">
        <v>548</v>
      </c>
      <c r="E54" s="2" t="s">
        <v>49</v>
      </c>
      <c r="F54" s="1" t="s">
        <v>8</v>
      </c>
    </row>
    <row r="55" spans="1:6" x14ac:dyDescent="0.3">
      <c r="A55" s="2" t="s">
        <v>16</v>
      </c>
      <c r="B55" s="3">
        <v>34.927864999999997</v>
      </c>
      <c r="C55" s="3">
        <v>-85.150728999999998</v>
      </c>
      <c r="D55" s="1">
        <v>548</v>
      </c>
      <c r="E55" s="2" t="s">
        <v>49</v>
      </c>
      <c r="F55" s="1" t="s">
        <v>8</v>
      </c>
    </row>
    <row r="56" spans="1:6" x14ac:dyDescent="0.3">
      <c r="A56" s="1" t="s">
        <v>13</v>
      </c>
      <c r="B56" s="1">
        <v>34.927729999999997</v>
      </c>
      <c r="C56" s="1">
        <v>-85.154750000000007</v>
      </c>
      <c r="D56" s="1">
        <v>548</v>
      </c>
      <c r="E56" s="1" t="s">
        <v>49</v>
      </c>
      <c r="F56" s="1" t="s">
        <v>8</v>
      </c>
    </row>
    <row r="57" spans="1:6" x14ac:dyDescent="0.3">
      <c r="A57" s="2" t="s">
        <v>50</v>
      </c>
      <c r="B57" s="3">
        <v>34.913300999999997</v>
      </c>
      <c r="C57" s="3">
        <v>-85.123749000000004</v>
      </c>
      <c r="D57" s="1">
        <v>548</v>
      </c>
      <c r="E57" s="2" t="s">
        <v>49</v>
      </c>
      <c r="F57" s="1" t="s">
        <v>8</v>
      </c>
    </row>
    <row r="58" spans="1:6" x14ac:dyDescent="0.3">
      <c r="A58" s="2" t="s">
        <v>51</v>
      </c>
      <c r="B58" s="3">
        <v>34.889825000000002</v>
      </c>
      <c r="C58" s="3">
        <v>-85.073205999999999</v>
      </c>
      <c r="D58" s="1">
        <v>548</v>
      </c>
      <c r="E58" s="2" t="s">
        <v>49</v>
      </c>
      <c r="F58" s="1" t="s">
        <v>8</v>
      </c>
    </row>
    <row r="59" spans="1:6" x14ac:dyDescent="0.3">
      <c r="A59" s="2" t="s">
        <v>52</v>
      </c>
      <c r="B59" s="3">
        <v>34.889296000000002</v>
      </c>
      <c r="C59" s="3">
        <v>-85.072974000000002</v>
      </c>
      <c r="D59" s="1">
        <v>548</v>
      </c>
      <c r="E59" s="2" t="s">
        <v>49</v>
      </c>
      <c r="F59" s="1" t="s">
        <v>8</v>
      </c>
    </row>
    <row r="60" spans="1:6" x14ac:dyDescent="0.3">
      <c r="A60" s="2" t="s">
        <v>53</v>
      </c>
      <c r="B60" s="3">
        <v>34.889000000000003</v>
      </c>
      <c r="C60" s="3">
        <v>-85.072962000000004</v>
      </c>
      <c r="D60" s="1">
        <v>548</v>
      </c>
      <c r="E60" s="2" t="s">
        <v>49</v>
      </c>
      <c r="F60" s="1" t="s">
        <v>8</v>
      </c>
    </row>
    <row r="61" spans="1:6" x14ac:dyDescent="0.3">
      <c r="A61" s="2" t="s">
        <v>6</v>
      </c>
      <c r="B61" s="3">
        <v>34.879550000000002</v>
      </c>
      <c r="C61" s="3">
        <v>-85.048340999999994</v>
      </c>
      <c r="D61" s="1">
        <v>548</v>
      </c>
      <c r="E61" s="2" t="s">
        <v>49</v>
      </c>
      <c r="F61" s="1" t="s">
        <v>8</v>
      </c>
    </row>
    <row r="62" spans="1:6" x14ac:dyDescent="0.3">
      <c r="A62" s="1" t="s">
        <v>13</v>
      </c>
      <c r="B62" s="1">
        <v>34.795189999999998</v>
      </c>
      <c r="C62" s="1">
        <v>-84.995549999999994</v>
      </c>
      <c r="D62" s="1">
        <v>548</v>
      </c>
      <c r="E62" s="1" t="s">
        <v>49</v>
      </c>
      <c r="F62" s="1" t="s">
        <v>8</v>
      </c>
    </row>
    <row r="63" spans="1:6" x14ac:dyDescent="0.3">
      <c r="A63" s="1" t="s">
        <v>13</v>
      </c>
      <c r="B63" s="1">
        <v>34.759929999999997</v>
      </c>
      <c r="C63" s="1">
        <v>-84.996780000000001</v>
      </c>
      <c r="D63" s="1">
        <v>548</v>
      </c>
      <c r="E63" s="1" t="s">
        <v>49</v>
      </c>
      <c r="F63" s="1" t="s">
        <v>8</v>
      </c>
    </row>
    <row r="64" spans="1:6" x14ac:dyDescent="0.3">
      <c r="A64" s="2" t="s">
        <v>11</v>
      </c>
      <c r="B64" s="3">
        <v>34.688105999999998</v>
      </c>
      <c r="C64" s="3">
        <v>-85.000366</v>
      </c>
      <c r="D64" s="1">
        <v>548</v>
      </c>
      <c r="E64" s="2" t="s">
        <v>49</v>
      </c>
      <c r="F64" s="1" t="s">
        <v>8</v>
      </c>
    </row>
    <row r="65" spans="1:6" x14ac:dyDescent="0.3">
      <c r="A65" s="2" t="s">
        <v>11</v>
      </c>
      <c r="B65" s="3">
        <v>34.654814000000002</v>
      </c>
      <c r="C65" s="3">
        <v>-84.980238</v>
      </c>
      <c r="D65" s="1">
        <v>548</v>
      </c>
      <c r="E65" s="2" t="s">
        <v>49</v>
      </c>
      <c r="F65" s="1" t="s">
        <v>8</v>
      </c>
    </row>
    <row r="66" spans="1:6" x14ac:dyDescent="0.3">
      <c r="A66" s="2" t="s">
        <v>54</v>
      </c>
      <c r="B66" s="3">
        <v>34.653936000000002</v>
      </c>
      <c r="C66" s="3">
        <v>-84.982686000000001</v>
      </c>
      <c r="D66" s="1">
        <v>548</v>
      </c>
      <c r="E66" s="2" t="s">
        <v>49</v>
      </c>
      <c r="F66" s="1" t="s">
        <v>8</v>
      </c>
    </row>
    <row r="67" spans="1:6" x14ac:dyDescent="0.3">
      <c r="A67" s="2" t="s">
        <v>55</v>
      </c>
      <c r="B67" s="3">
        <v>34.577509999999997</v>
      </c>
      <c r="C67" s="3">
        <v>-84.947603999999998</v>
      </c>
      <c r="D67" s="1">
        <v>548</v>
      </c>
      <c r="E67" s="2" t="s">
        <v>49</v>
      </c>
      <c r="F67" s="1" t="s">
        <v>8</v>
      </c>
    </row>
    <row r="68" spans="1:6" x14ac:dyDescent="0.3">
      <c r="A68" s="2" t="s">
        <v>21</v>
      </c>
      <c r="B68" s="3">
        <v>34.563501000000002</v>
      </c>
      <c r="C68" s="3">
        <v>-84.944229000000007</v>
      </c>
      <c r="D68" s="1">
        <v>548</v>
      </c>
      <c r="E68" s="2" t="s">
        <v>49</v>
      </c>
      <c r="F68" s="1" t="s">
        <v>8</v>
      </c>
    </row>
    <row r="69" spans="1:6" x14ac:dyDescent="0.3">
      <c r="A69" s="2" t="s">
        <v>56</v>
      </c>
      <c r="B69" s="3">
        <v>34.558875999999998</v>
      </c>
      <c r="C69" s="3">
        <v>-84.936503000000002</v>
      </c>
      <c r="D69" s="1">
        <v>548</v>
      </c>
      <c r="E69" s="2" t="s">
        <v>49</v>
      </c>
      <c r="F69" s="1" t="s">
        <v>8</v>
      </c>
    </row>
    <row r="70" spans="1:6" x14ac:dyDescent="0.3">
      <c r="A70" s="1" t="s">
        <v>13</v>
      </c>
      <c r="B70" s="1">
        <v>34.47296</v>
      </c>
      <c r="C70" s="1">
        <v>-84.924059999999997</v>
      </c>
      <c r="D70" s="1">
        <v>548</v>
      </c>
      <c r="E70" s="1" t="s">
        <v>49</v>
      </c>
      <c r="F70" s="1" t="s">
        <v>8</v>
      </c>
    </row>
    <row r="71" spans="1:6" x14ac:dyDescent="0.3">
      <c r="A71" s="2" t="s">
        <v>21</v>
      </c>
      <c r="B71" s="3">
        <v>34.409360999999997</v>
      </c>
      <c r="C71" s="3">
        <v>-84.917373999999995</v>
      </c>
      <c r="D71" s="1">
        <v>548</v>
      </c>
      <c r="E71" s="2" t="s">
        <v>49</v>
      </c>
      <c r="F71" s="1" t="s">
        <v>8</v>
      </c>
    </row>
    <row r="72" spans="1:6" x14ac:dyDescent="0.3">
      <c r="A72" s="2" t="s">
        <v>57</v>
      </c>
      <c r="B72" s="3">
        <v>34.379491000000002</v>
      </c>
      <c r="C72" s="3">
        <v>-84.907397000000003</v>
      </c>
      <c r="D72" s="1">
        <v>548</v>
      </c>
      <c r="E72" s="2" t="s">
        <v>49</v>
      </c>
      <c r="F72" s="1" t="s">
        <v>8</v>
      </c>
    </row>
    <row r="73" spans="1:6" x14ac:dyDescent="0.3">
      <c r="A73" s="1" t="s">
        <v>13</v>
      </c>
      <c r="B73" s="1">
        <v>34.376249999999999</v>
      </c>
      <c r="C73" s="1">
        <v>-84.91574</v>
      </c>
      <c r="D73" s="1">
        <v>548</v>
      </c>
      <c r="E73" s="1" t="s">
        <v>49</v>
      </c>
      <c r="F73" s="1" t="s">
        <v>8</v>
      </c>
    </row>
    <row r="74" spans="1:6" x14ac:dyDescent="0.3">
      <c r="A74" s="2" t="s">
        <v>11</v>
      </c>
      <c r="B74" s="3">
        <v>34.273180000000004</v>
      </c>
      <c r="C74" s="3">
        <v>-84.807694999999995</v>
      </c>
      <c r="D74" s="1">
        <v>548</v>
      </c>
      <c r="E74" s="2" t="s">
        <v>49</v>
      </c>
      <c r="F74" s="1" t="s">
        <v>8</v>
      </c>
    </row>
    <row r="75" spans="1:6" x14ac:dyDescent="0.3">
      <c r="A75" s="2" t="s">
        <v>58</v>
      </c>
      <c r="B75" s="3">
        <v>34.273180000000004</v>
      </c>
      <c r="C75" s="3">
        <v>-84.807575999999997</v>
      </c>
      <c r="D75" s="1">
        <v>548</v>
      </c>
      <c r="E75" s="2" t="s">
        <v>49</v>
      </c>
      <c r="F75" s="1" t="s">
        <v>8</v>
      </c>
    </row>
    <row r="76" spans="1:6" x14ac:dyDescent="0.3">
      <c r="A76" s="2" t="s">
        <v>59</v>
      </c>
      <c r="B76" s="3">
        <v>34.241416999999998</v>
      </c>
      <c r="C76" s="3">
        <v>-84.775204000000002</v>
      </c>
      <c r="D76" s="1">
        <v>548</v>
      </c>
      <c r="E76" s="2" t="s">
        <v>49</v>
      </c>
      <c r="F76" s="1" t="s">
        <v>8</v>
      </c>
    </row>
    <row r="77" spans="1:6" x14ac:dyDescent="0.3">
      <c r="A77" s="2" t="s">
        <v>60</v>
      </c>
      <c r="B77" s="3">
        <v>34.208803000000003</v>
      </c>
      <c r="C77" s="3">
        <v>-84.759434999999996</v>
      </c>
      <c r="D77" s="1">
        <v>548</v>
      </c>
      <c r="E77" s="2" t="s">
        <v>49</v>
      </c>
      <c r="F77" s="1" t="s">
        <v>8</v>
      </c>
    </row>
    <row r="78" spans="1:6" x14ac:dyDescent="0.3">
      <c r="A78" s="1" t="s">
        <v>13</v>
      </c>
      <c r="B78" s="1">
        <v>34.174030000000002</v>
      </c>
      <c r="C78" s="1">
        <v>-84.764489999999995</v>
      </c>
      <c r="D78" s="1">
        <v>548</v>
      </c>
      <c r="E78" s="1" t="s">
        <v>49</v>
      </c>
      <c r="F78" s="1" t="s">
        <v>8</v>
      </c>
    </row>
    <row r="79" spans="1:6" x14ac:dyDescent="0.3">
      <c r="A79" s="2" t="s">
        <v>60</v>
      </c>
      <c r="B79" s="3">
        <v>34.173403</v>
      </c>
      <c r="C79" s="3">
        <v>-84.764218999999997</v>
      </c>
      <c r="D79" s="1">
        <v>548</v>
      </c>
      <c r="E79" s="2" t="s">
        <v>49</v>
      </c>
      <c r="F79" s="1" t="s">
        <v>8</v>
      </c>
    </row>
    <row r="80" spans="1:6" x14ac:dyDescent="0.3">
      <c r="A80" s="1" t="s">
        <v>13</v>
      </c>
      <c r="B80" s="1">
        <v>34.1417</v>
      </c>
      <c r="C80" s="1">
        <v>-84.743960000000001</v>
      </c>
      <c r="D80" s="1">
        <v>548</v>
      </c>
      <c r="E80" s="1" t="s">
        <v>49</v>
      </c>
      <c r="F80" s="1" t="s">
        <v>8</v>
      </c>
    </row>
    <row r="81" spans="1:6" x14ac:dyDescent="0.3">
      <c r="A81" s="2" t="s">
        <v>61</v>
      </c>
      <c r="B81" s="3">
        <v>34.119905000000003</v>
      </c>
      <c r="C81" s="3">
        <v>-84.742698000000004</v>
      </c>
      <c r="D81" s="1">
        <v>548</v>
      </c>
      <c r="E81" s="2" t="s">
        <v>49</v>
      </c>
      <c r="F81" s="1" t="s">
        <v>8</v>
      </c>
    </row>
    <row r="82" spans="1:6" x14ac:dyDescent="0.3">
      <c r="A82" s="1" t="s">
        <v>13</v>
      </c>
      <c r="B82" s="1">
        <v>34.084299999999999</v>
      </c>
      <c r="C82" s="1">
        <v>-84.554429999999996</v>
      </c>
      <c r="D82" s="1">
        <v>548</v>
      </c>
      <c r="E82" s="1" t="s">
        <v>49</v>
      </c>
      <c r="F82" s="1" t="s">
        <v>8</v>
      </c>
    </row>
    <row r="83" spans="1:6" x14ac:dyDescent="0.3">
      <c r="A83" s="1" t="s">
        <v>13</v>
      </c>
      <c r="B83" s="1">
        <v>34.082650000000001</v>
      </c>
      <c r="C83" s="1">
        <v>-84.6554</v>
      </c>
      <c r="D83" s="1">
        <v>548</v>
      </c>
      <c r="E83" s="1" t="s">
        <v>49</v>
      </c>
      <c r="F83" s="1" t="s">
        <v>8</v>
      </c>
    </row>
    <row r="84" spans="1:6" x14ac:dyDescent="0.3">
      <c r="A84" s="1" t="s">
        <v>13</v>
      </c>
      <c r="B84" s="1">
        <v>34.074260000000002</v>
      </c>
      <c r="C84" s="1">
        <v>-84.677430000000001</v>
      </c>
      <c r="D84" s="1">
        <v>548</v>
      </c>
      <c r="E84" s="1" t="s">
        <v>49</v>
      </c>
      <c r="F84" s="1" t="s">
        <v>8</v>
      </c>
    </row>
    <row r="85" spans="1:6" x14ac:dyDescent="0.3">
      <c r="A85" s="1" t="s">
        <v>13</v>
      </c>
      <c r="B85" s="1">
        <v>34.05903</v>
      </c>
      <c r="C85" s="1">
        <v>-84.591939999999994</v>
      </c>
      <c r="D85" s="1">
        <v>548</v>
      </c>
      <c r="E85" s="1" t="s">
        <v>49</v>
      </c>
      <c r="F85" s="1" t="s">
        <v>8</v>
      </c>
    </row>
    <row r="86" spans="1:6" x14ac:dyDescent="0.3">
      <c r="A86" s="1" t="s">
        <v>13</v>
      </c>
      <c r="B86" s="1">
        <v>34.057169999999999</v>
      </c>
      <c r="C86" s="1">
        <v>-84.558120000000002</v>
      </c>
      <c r="D86" s="1">
        <v>548</v>
      </c>
      <c r="E86" s="1" t="s">
        <v>49</v>
      </c>
      <c r="F86" s="1" t="s">
        <v>8</v>
      </c>
    </row>
    <row r="87" spans="1:6" x14ac:dyDescent="0.3">
      <c r="A87" s="1" t="s">
        <v>13</v>
      </c>
      <c r="B87" s="1">
        <v>34.007620000000003</v>
      </c>
      <c r="C87" s="1">
        <v>-84.527739999999994</v>
      </c>
      <c r="D87" s="1">
        <v>548</v>
      </c>
      <c r="E87" s="1" t="s">
        <v>49</v>
      </c>
      <c r="F87" s="1" t="s">
        <v>8</v>
      </c>
    </row>
    <row r="88" spans="1:6" x14ac:dyDescent="0.3">
      <c r="A88" s="1" t="s">
        <v>13</v>
      </c>
      <c r="B88" s="1">
        <v>33.99297</v>
      </c>
      <c r="C88" s="1">
        <v>-84.597809999999996</v>
      </c>
      <c r="D88" s="1">
        <v>548</v>
      </c>
      <c r="E88" s="1" t="s">
        <v>49</v>
      </c>
      <c r="F88" s="1" t="s">
        <v>8</v>
      </c>
    </row>
    <row r="89" spans="1:6" x14ac:dyDescent="0.3">
      <c r="A89" s="1" t="s">
        <v>13</v>
      </c>
      <c r="B89" s="1">
        <v>33.979779999999998</v>
      </c>
      <c r="C89" s="1">
        <v>-84.461979999999997</v>
      </c>
      <c r="D89" s="1">
        <v>548</v>
      </c>
      <c r="E89" s="1" t="s">
        <v>49</v>
      </c>
      <c r="F89" s="1" t="s">
        <v>8</v>
      </c>
    </row>
    <row r="90" spans="1:6" x14ac:dyDescent="0.3">
      <c r="A90" s="1" t="s">
        <v>13</v>
      </c>
      <c r="B90" s="1">
        <v>33.972479999999997</v>
      </c>
      <c r="C90" s="1">
        <v>-84.550460000000001</v>
      </c>
      <c r="D90" s="1">
        <v>548</v>
      </c>
      <c r="E90" s="1" t="s">
        <v>49</v>
      </c>
      <c r="F90" s="1" t="s">
        <v>8</v>
      </c>
    </row>
    <row r="91" spans="1:6" x14ac:dyDescent="0.3">
      <c r="A91" s="1" t="s">
        <v>13</v>
      </c>
      <c r="B91" s="1">
        <v>33.936140000000002</v>
      </c>
      <c r="C91" s="1">
        <v>-84.554990000000004</v>
      </c>
      <c r="D91" s="1">
        <v>548</v>
      </c>
      <c r="E91" s="1" t="s">
        <v>49</v>
      </c>
      <c r="F91" s="1" t="s">
        <v>8</v>
      </c>
    </row>
    <row r="92" spans="1:6" x14ac:dyDescent="0.3">
      <c r="A92" s="1" t="s">
        <v>13</v>
      </c>
      <c r="B92" s="1">
        <v>33.921849999999999</v>
      </c>
      <c r="C92" s="1">
        <v>-84.481449999999995</v>
      </c>
      <c r="D92" s="1">
        <v>548</v>
      </c>
      <c r="E92" s="1" t="s">
        <v>49</v>
      </c>
      <c r="F92" s="1" t="s">
        <v>8</v>
      </c>
    </row>
    <row r="93" spans="1:6" x14ac:dyDescent="0.3">
      <c r="A93" s="1" t="s">
        <v>13</v>
      </c>
      <c r="B93" s="1">
        <v>33.895699999999998</v>
      </c>
      <c r="C93" s="1">
        <v>-84.575050000000005</v>
      </c>
      <c r="D93" s="1">
        <v>548</v>
      </c>
      <c r="E93" s="1" t="s">
        <v>49</v>
      </c>
      <c r="F93" s="1" t="s">
        <v>8</v>
      </c>
    </row>
    <row r="94" spans="1:6" x14ac:dyDescent="0.3">
      <c r="A94" s="1" t="s">
        <v>13</v>
      </c>
      <c r="B94" s="1">
        <v>33.882660000000001</v>
      </c>
      <c r="C94" s="1">
        <v>-84.479849999999999</v>
      </c>
      <c r="D94" s="1">
        <v>548</v>
      </c>
      <c r="E94" s="1" t="s">
        <v>49</v>
      </c>
      <c r="F94" s="1" t="s">
        <v>8</v>
      </c>
    </row>
    <row r="95" spans="1:6" x14ac:dyDescent="0.3">
      <c r="A95" s="1" t="s">
        <v>13</v>
      </c>
      <c r="B95" s="1">
        <v>33.820639999999997</v>
      </c>
      <c r="C95" s="1">
        <v>-84.455179999999999</v>
      </c>
      <c r="D95" s="1">
        <v>1213</v>
      </c>
      <c r="E95" s="1" t="s">
        <v>49</v>
      </c>
      <c r="F95" s="1" t="s">
        <v>8</v>
      </c>
    </row>
    <row r="96" spans="1:6" x14ac:dyDescent="0.3">
      <c r="A96" s="2" t="s">
        <v>62</v>
      </c>
      <c r="B96" s="3">
        <v>33.624442000000002</v>
      </c>
      <c r="C96" s="3">
        <v>-84.407866999999996</v>
      </c>
      <c r="D96" s="1">
        <v>1213</v>
      </c>
      <c r="E96" s="2" t="s">
        <v>49</v>
      </c>
      <c r="F96" s="1" t="s">
        <v>8</v>
      </c>
    </row>
    <row r="97" spans="1:6" x14ac:dyDescent="0.3">
      <c r="A97" s="1" t="s">
        <v>13</v>
      </c>
      <c r="B97" s="1">
        <v>33.620339999999999</v>
      </c>
      <c r="C97" s="1">
        <v>-84.384510000000006</v>
      </c>
      <c r="D97" s="1">
        <v>1213</v>
      </c>
      <c r="E97" s="1" t="s">
        <v>49</v>
      </c>
      <c r="F97" s="1" t="s">
        <v>8</v>
      </c>
    </row>
    <row r="98" spans="1:6" x14ac:dyDescent="0.3">
      <c r="A98" s="2" t="s">
        <v>63</v>
      </c>
      <c r="B98" s="3">
        <v>33.620024000000001</v>
      </c>
      <c r="C98" s="3">
        <v>-84.383461999999994</v>
      </c>
      <c r="D98" s="1">
        <v>1213</v>
      </c>
      <c r="E98" s="2" t="s">
        <v>49</v>
      </c>
      <c r="F98" s="1" t="s">
        <v>8</v>
      </c>
    </row>
    <row r="99" spans="1:6" x14ac:dyDescent="0.3">
      <c r="A99" s="2" t="s">
        <v>64</v>
      </c>
      <c r="B99" s="3">
        <v>33.581868999999998</v>
      </c>
      <c r="C99" s="3">
        <v>-84.377570000000006</v>
      </c>
      <c r="D99" s="1">
        <v>1213</v>
      </c>
      <c r="E99" s="2" t="s">
        <v>49</v>
      </c>
      <c r="F99" s="1" t="s">
        <v>8</v>
      </c>
    </row>
    <row r="100" spans="1:6" x14ac:dyDescent="0.3">
      <c r="A100" s="2" t="s">
        <v>65</v>
      </c>
      <c r="B100" s="3">
        <v>33.553555000000003</v>
      </c>
      <c r="C100" s="3">
        <v>-84.256810999999999</v>
      </c>
      <c r="D100" s="1">
        <v>1213</v>
      </c>
      <c r="E100" s="2" t="s">
        <v>49</v>
      </c>
      <c r="F100" s="1" t="s">
        <v>8</v>
      </c>
    </row>
    <row r="101" spans="1:6" x14ac:dyDescent="0.3">
      <c r="A101" s="1" t="s">
        <v>13</v>
      </c>
      <c r="B101" s="1">
        <v>33.48366</v>
      </c>
      <c r="C101" s="1">
        <v>-84.211749999999995</v>
      </c>
      <c r="D101" s="1">
        <v>1213</v>
      </c>
      <c r="E101" s="1" t="s">
        <v>49</v>
      </c>
      <c r="F101" s="1" t="s">
        <v>8</v>
      </c>
    </row>
    <row r="102" spans="1:6" x14ac:dyDescent="0.3">
      <c r="A102" s="2" t="s">
        <v>66</v>
      </c>
      <c r="B102" s="3">
        <v>33.461690599999997</v>
      </c>
      <c r="C102" s="3">
        <v>-84.2073082</v>
      </c>
      <c r="D102" s="1">
        <v>1213</v>
      </c>
      <c r="E102" s="2" t="s">
        <v>49</v>
      </c>
      <c r="F102" s="1" t="s">
        <v>8</v>
      </c>
    </row>
    <row r="103" spans="1:6" x14ac:dyDescent="0.3">
      <c r="A103" s="1" t="s">
        <v>13</v>
      </c>
      <c r="B103" s="1">
        <v>33.460279999999997</v>
      </c>
      <c r="C103" s="1">
        <v>-84.195989999999995</v>
      </c>
      <c r="D103" s="1">
        <v>1213</v>
      </c>
      <c r="E103" s="1" t="s">
        <v>49</v>
      </c>
      <c r="F103" s="1" t="s">
        <v>8</v>
      </c>
    </row>
    <row r="104" spans="1:6" x14ac:dyDescent="0.3">
      <c r="A104" s="1" t="s">
        <v>13</v>
      </c>
      <c r="B104" s="1">
        <v>33.430390000000003</v>
      </c>
      <c r="C104" s="1">
        <v>-84.178319999999999</v>
      </c>
      <c r="D104" s="1">
        <v>1213</v>
      </c>
      <c r="E104" s="1" t="s">
        <v>49</v>
      </c>
      <c r="F104" s="1" t="s">
        <v>8</v>
      </c>
    </row>
    <row r="105" spans="1:6" x14ac:dyDescent="0.3">
      <c r="A105" s="1" t="s">
        <v>13</v>
      </c>
      <c r="B105" s="1">
        <v>33.425269999999998</v>
      </c>
      <c r="C105" s="1">
        <v>-84.184119999999993</v>
      </c>
      <c r="D105" s="1">
        <v>1213</v>
      </c>
      <c r="E105" s="1" t="s">
        <v>49</v>
      </c>
      <c r="F105" s="1" t="s">
        <v>8</v>
      </c>
    </row>
    <row r="106" spans="1:6" x14ac:dyDescent="0.3">
      <c r="A106" s="1" t="s">
        <v>13</v>
      </c>
      <c r="B106" s="1">
        <v>33.413690000000003</v>
      </c>
      <c r="C106" s="1">
        <v>-84.158100000000005</v>
      </c>
      <c r="D106" s="1">
        <v>1213</v>
      </c>
      <c r="E106" s="1" t="s">
        <v>49</v>
      </c>
      <c r="F106" s="1" t="s">
        <v>8</v>
      </c>
    </row>
    <row r="107" spans="1:6" x14ac:dyDescent="0.3">
      <c r="A107" s="2" t="s">
        <v>67</v>
      </c>
      <c r="B107" s="3">
        <v>33.412770000000002</v>
      </c>
      <c r="C107" s="3">
        <v>-84.158921000000007</v>
      </c>
      <c r="D107" s="1">
        <v>1213</v>
      </c>
      <c r="E107" s="2" t="s">
        <v>49</v>
      </c>
      <c r="F107" s="1" t="s">
        <v>8</v>
      </c>
    </row>
    <row r="108" spans="1:6" x14ac:dyDescent="0.3">
      <c r="A108" s="2" t="s">
        <v>68</v>
      </c>
      <c r="B108" s="3">
        <v>33.408700400000001</v>
      </c>
      <c r="C108" s="3">
        <v>-84.166120199999995</v>
      </c>
      <c r="D108" s="1">
        <v>1213</v>
      </c>
      <c r="E108" s="2" t="s">
        <v>49</v>
      </c>
      <c r="F108" s="1" t="s">
        <v>8</v>
      </c>
    </row>
    <row r="109" spans="1:6" x14ac:dyDescent="0.3">
      <c r="A109" s="2" t="s">
        <v>69</v>
      </c>
      <c r="B109" s="3">
        <v>33.211081999999998</v>
      </c>
      <c r="C109" s="3">
        <v>-84.057164</v>
      </c>
      <c r="D109" s="1">
        <v>1213</v>
      </c>
      <c r="E109" s="2" t="s">
        <v>49</v>
      </c>
      <c r="F109" s="1" t="s">
        <v>8</v>
      </c>
    </row>
    <row r="110" spans="1:6" x14ac:dyDescent="0.3">
      <c r="A110" s="2" t="s">
        <v>37</v>
      </c>
      <c r="B110" s="3">
        <v>33.209643999999997</v>
      </c>
      <c r="C110" s="3">
        <v>-84.057083000000006</v>
      </c>
      <c r="D110" s="1">
        <v>1213</v>
      </c>
      <c r="E110" s="2" t="s">
        <v>49</v>
      </c>
      <c r="F110" s="1" t="s">
        <v>8</v>
      </c>
    </row>
    <row r="111" spans="1:6" x14ac:dyDescent="0.3">
      <c r="A111" s="2" t="s">
        <v>70</v>
      </c>
      <c r="B111" s="3">
        <v>33.208793999999997</v>
      </c>
      <c r="C111" s="3">
        <v>-84.059954000000005</v>
      </c>
      <c r="D111" s="1">
        <v>1213</v>
      </c>
      <c r="E111" s="2" t="s">
        <v>49</v>
      </c>
      <c r="F111" s="1" t="s">
        <v>8</v>
      </c>
    </row>
    <row r="112" spans="1:6" x14ac:dyDescent="0.3">
      <c r="A112" s="2" t="s">
        <v>71</v>
      </c>
      <c r="B112" s="3">
        <v>33.208275</v>
      </c>
      <c r="C112" s="3">
        <v>-84.058456000000007</v>
      </c>
      <c r="D112" s="1">
        <v>1213</v>
      </c>
      <c r="E112" s="2" t="s">
        <v>49</v>
      </c>
      <c r="F112" s="1" t="s">
        <v>8</v>
      </c>
    </row>
    <row r="113" spans="1:6" x14ac:dyDescent="0.3">
      <c r="A113" s="2" t="s">
        <v>72</v>
      </c>
      <c r="B113" s="3">
        <v>33.208171999999998</v>
      </c>
      <c r="C113" s="3">
        <v>-84.065194000000005</v>
      </c>
      <c r="D113" s="1">
        <v>1213</v>
      </c>
      <c r="E113" s="2" t="s">
        <v>49</v>
      </c>
      <c r="F113" s="1" t="s">
        <v>8</v>
      </c>
    </row>
    <row r="114" spans="1:6" x14ac:dyDescent="0.3">
      <c r="A114" s="2" t="s">
        <v>6</v>
      </c>
      <c r="B114" s="3">
        <v>33.070383999999997</v>
      </c>
      <c r="C114" s="3">
        <v>-83.973332999999997</v>
      </c>
      <c r="D114" s="1">
        <v>1213</v>
      </c>
      <c r="E114" s="2" t="s">
        <v>49</v>
      </c>
      <c r="F114" s="1" t="s">
        <v>8</v>
      </c>
    </row>
    <row r="115" spans="1:6" x14ac:dyDescent="0.3">
      <c r="A115" s="2" t="s">
        <v>73</v>
      </c>
      <c r="B115" s="3">
        <v>33.039572</v>
      </c>
      <c r="C115" s="3">
        <v>-83.939366000000007</v>
      </c>
      <c r="D115" s="1">
        <v>1213</v>
      </c>
      <c r="E115" s="2" t="s">
        <v>49</v>
      </c>
      <c r="F115" s="1" t="s">
        <v>8</v>
      </c>
    </row>
    <row r="116" spans="1:6" x14ac:dyDescent="0.3">
      <c r="A116" s="2" t="s">
        <v>74</v>
      </c>
      <c r="B116" s="3">
        <v>32.992516000000002</v>
      </c>
      <c r="C116" s="3">
        <v>-83.842313000000004</v>
      </c>
      <c r="D116" s="1">
        <v>1213</v>
      </c>
      <c r="E116" s="2" t="s">
        <v>49</v>
      </c>
      <c r="F116" s="1" t="s">
        <v>8</v>
      </c>
    </row>
    <row r="117" spans="1:6" x14ac:dyDescent="0.3">
      <c r="A117" s="2" t="s">
        <v>21</v>
      </c>
      <c r="B117" s="3">
        <v>32.972315999999999</v>
      </c>
      <c r="C117" s="3">
        <v>-83.828193999999996</v>
      </c>
      <c r="D117" s="1">
        <v>1213</v>
      </c>
      <c r="E117" s="2" t="s">
        <v>49</v>
      </c>
      <c r="F117" s="1" t="s">
        <v>8</v>
      </c>
    </row>
    <row r="118" spans="1:6" x14ac:dyDescent="0.3">
      <c r="A118" s="2" t="s">
        <v>75</v>
      </c>
      <c r="B118" s="3">
        <v>32.658101000000002</v>
      </c>
      <c r="C118" s="3">
        <v>-83.745496000000003</v>
      </c>
      <c r="D118" s="1">
        <v>385</v>
      </c>
      <c r="E118" s="2" t="s">
        <v>49</v>
      </c>
      <c r="F118" s="1" t="s">
        <v>8</v>
      </c>
    </row>
    <row r="119" spans="1:6" x14ac:dyDescent="0.3">
      <c r="A119" s="2" t="s">
        <v>76</v>
      </c>
      <c r="B119" s="3">
        <v>32.657345999999997</v>
      </c>
      <c r="C119" s="3">
        <v>-83.747889999999998</v>
      </c>
      <c r="D119" s="1">
        <v>385</v>
      </c>
      <c r="E119" s="2" t="s">
        <v>49</v>
      </c>
      <c r="F119" s="1" t="s">
        <v>8</v>
      </c>
    </row>
    <row r="120" spans="1:6" x14ac:dyDescent="0.3">
      <c r="A120" s="2" t="s">
        <v>11</v>
      </c>
      <c r="B120" s="3">
        <v>32.611662000000003</v>
      </c>
      <c r="C120" s="3">
        <v>-83.744123999999999</v>
      </c>
      <c r="D120" s="1">
        <v>385</v>
      </c>
      <c r="E120" s="2" t="s">
        <v>49</v>
      </c>
      <c r="F120" s="1" t="s">
        <v>8</v>
      </c>
    </row>
    <row r="121" spans="1:6" x14ac:dyDescent="0.3">
      <c r="A121" s="2" t="s">
        <v>77</v>
      </c>
      <c r="B121" s="3">
        <v>32.493121000000002</v>
      </c>
      <c r="C121" s="3">
        <v>-83.740003000000002</v>
      </c>
      <c r="D121" s="1">
        <v>385</v>
      </c>
      <c r="E121" s="2" t="s">
        <v>49</v>
      </c>
      <c r="F121" s="1" t="s">
        <v>8</v>
      </c>
    </row>
    <row r="122" spans="1:6" x14ac:dyDescent="0.3">
      <c r="A122" s="2" t="s">
        <v>78</v>
      </c>
      <c r="B122" s="3">
        <v>32.472499999999997</v>
      </c>
      <c r="C122" s="3">
        <v>-83.745726000000005</v>
      </c>
      <c r="D122" s="1">
        <v>385</v>
      </c>
      <c r="E122" s="2" t="s">
        <v>49</v>
      </c>
      <c r="F122" s="1" t="s">
        <v>8</v>
      </c>
    </row>
    <row r="123" spans="1:6" x14ac:dyDescent="0.3">
      <c r="A123" s="2" t="s">
        <v>79</v>
      </c>
      <c r="B123" s="3">
        <v>32.469487000000001</v>
      </c>
      <c r="C123" s="3">
        <v>-83.741825000000006</v>
      </c>
      <c r="D123" s="1">
        <v>385</v>
      </c>
      <c r="E123" s="2" t="s">
        <v>49</v>
      </c>
      <c r="F123" s="1" t="s">
        <v>8</v>
      </c>
    </row>
    <row r="124" spans="1:6" x14ac:dyDescent="0.3">
      <c r="A124" s="2" t="s">
        <v>79</v>
      </c>
      <c r="B124" s="3">
        <v>32.446849</v>
      </c>
      <c r="C124" s="3">
        <v>-83.751872000000006</v>
      </c>
      <c r="D124" s="1">
        <v>385</v>
      </c>
      <c r="E124" s="2" t="s">
        <v>49</v>
      </c>
      <c r="F124" s="1" t="s">
        <v>8</v>
      </c>
    </row>
    <row r="125" spans="1:6" x14ac:dyDescent="0.3">
      <c r="A125" s="2" t="s">
        <v>80</v>
      </c>
      <c r="B125" s="3">
        <v>32.244838000000001</v>
      </c>
      <c r="C125" s="3">
        <v>-83.745559999999998</v>
      </c>
      <c r="D125" s="1">
        <v>385</v>
      </c>
      <c r="E125" s="2" t="s">
        <v>49</v>
      </c>
      <c r="F125" s="1" t="s">
        <v>8</v>
      </c>
    </row>
    <row r="126" spans="1:6" x14ac:dyDescent="0.3">
      <c r="A126" s="2" t="s">
        <v>21</v>
      </c>
      <c r="B126" s="3">
        <v>32.209977000000002</v>
      </c>
      <c r="C126" s="3">
        <v>-83.747018999999995</v>
      </c>
      <c r="D126" s="1">
        <v>385</v>
      </c>
      <c r="E126" s="2" t="s">
        <v>49</v>
      </c>
      <c r="F126" s="1" t="s">
        <v>8</v>
      </c>
    </row>
    <row r="127" spans="1:6" x14ac:dyDescent="0.3">
      <c r="A127" s="2" t="s">
        <v>81</v>
      </c>
      <c r="B127" s="3">
        <v>32.191954000000003</v>
      </c>
      <c r="C127" s="3">
        <v>-83.749317000000005</v>
      </c>
      <c r="D127" s="1">
        <v>385</v>
      </c>
      <c r="E127" s="2" t="s">
        <v>49</v>
      </c>
      <c r="F127" s="1" t="s">
        <v>8</v>
      </c>
    </row>
    <row r="128" spans="1:6" x14ac:dyDescent="0.3">
      <c r="A128" s="2" t="s">
        <v>82</v>
      </c>
      <c r="B128" s="3">
        <v>32.121972</v>
      </c>
      <c r="C128" s="3">
        <v>-83.763216999999997</v>
      </c>
      <c r="D128" s="1">
        <v>385</v>
      </c>
      <c r="E128" s="2" t="s">
        <v>49</v>
      </c>
      <c r="F128" s="1" t="s">
        <v>8</v>
      </c>
    </row>
    <row r="129" spans="1:6" x14ac:dyDescent="0.3">
      <c r="A129" s="2" t="s">
        <v>11</v>
      </c>
      <c r="B129" s="3">
        <v>32.086430999999997</v>
      </c>
      <c r="C129" s="3">
        <v>-83.760450000000006</v>
      </c>
      <c r="D129" s="1">
        <v>385</v>
      </c>
      <c r="E129" s="2" t="s">
        <v>49</v>
      </c>
      <c r="F129" s="1" t="s">
        <v>8</v>
      </c>
    </row>
    <row r="130" spans="1:6" x14ac:dyDescent="0.3">
      <c r="A130" s="2" t="s">
        <v>21</v>
      </c>
      <c r="B130" s="3">
        <v>32.073737999999999</v>
      </c>
      <c r="C130" s="3">
        <v>-83.762039999999999</v>
      </c>
      <c r="D130" s="1">
        <v>385</v>
      </c>
      <c r="E130" s="2" t="s">
        <v>49</v>
      </c>
      <c r="F130" s="1" t="s">
        <v>8</v>
      </c>
    </row>
    <row r="131" spans="1:6" x14ac:dyDescent="0.3">
      <c r="A131" s="2" t="s">
        <v>65</v>
      </c>
      <c r="B131" s="3">
        <v>31.963667999999998</v>
      </c>
      <c r="C131" s="3">
        <v>-83.761868000000007</v>
      </c>
      <c r="D131" s="1">
        <v>385</v>
      </c>
      <c r="E131" s="2" t="s">
        <v>49</v>
      </c>
      <c r="F131" s="1" t="s">
        <v>8</v>
      </c>
    </row>
    <row r="132" spans="1:6" x14ac:dyDescent="0.3">
      <c r="A132" s="2" t="s">
        <v>11</v>
      </c>
      <c r="B132" s="3">
        <v>31.959105999999998</v>
      </c>
      <c r="C132" s="3">
        <v>-83.746972999999997</v>
      </c>
      <c r="D132" s="1">
        <v>385</v>
      </c>
      <c r="E132" s="2" t="s">
        <v>49</v>
      </c>
      <c r="F132" s="1" t="s">
        <v>8</v>
      </c>
    </row>
    <row r="133" spans="1:6" x14ac:dyDescent="0.3">
      <c r="A133" s="2" t="s">
        <v>21</v>
      </c>
      <c r="B133" s="3">
        <v>31.750841000000001</v>
      </c>
      <c r="C133" s="3">
        <v>-83.661863999999994</v>
      </c>
      <c r="D133" s="1">
        <v>385</v>
      </c>
      <c r="E133" s="2" t="s">
        <v>49</v>
      </c>
      <c r="F133" s="1" t="s">
        <v>8</v>
      </c>
    </row>
    <row r="134" spans="1:6" x14ac:dyDescent="0.3">
      <c r="A134" s="2" t="s">
        <v>83</v>
      </c>
      <c r="B134" s="3">
        <v>31.734248999999998</v>
      </c>
      <c r="C134" s="3">
        <v>-83.652428999999998</v>
      </c>
      <c r="D134" s="1">
        <v>385</v>
      </c>
      <c r="E134" s="2" t="s">
        <v>49</v>
      </c>
      <c r="F134" s="1" t="s">
        <v>8</v>
      </c>
    </row>
    <row r="135" spans="1:6" x14ac:dyDescent="0.3">
      <c r="A135" s="2" t="s">
        <v>84</v>
      </c>
      <c r="B135" s="3">
        <v>31.68083</v>
      </c>
      <c r="C135" s="3">
        <v>-83.621481000000003</v>
      </c>
      <c r="D135" s="1">
        <v>385</v>
      </c>
      <c r="E135" s="2" t="s">
        <v>49</v>
      </c>
      <c r="F135" s="1" t="s">
        <v>8</v>
      </c>
    </row>
    <row r="136" spans="1:6" x14ac:dyDescent="0.3">
      <c r="A136" s="2" t="s">
        <v>21</v>
      </c>
      <c r="B136" s="3">
        <v>31.634428</v>
      </c>
      <c r="C136" s="3">
        <v>-83.584359000000006</v>
      </c>
      <c r="D136" s="1">
        <v>385</v>
      </c>
      <c r="E136" s="2" t="s">
        <v>49</v>
      </c>
      <c r="F136" s="1" t="s">
        <v>8</v>
      </c>
    </row>
    <row r="137" spans="1:6" x14ac:dyDescent="0.3">
      <c r="A137" s="2" t="s">
        <v>85</v>
      </c>
      <c r="B137" s="3">
        <v>31.450261999999999</v>
      </c>
      <c r="C137" s="3">
        <v>-83.527974</v>
      </c>
      <c r="D137" s="1">
        <v>385</v>
      </c>
      <c r="E137" s="2" t="s">
        <v>49</v>
      </c>
      <c r="F137" s="1" t="s">
        <v>8</v>
      </c>
    </row>
    <row r="138" spans="1:6" x14ac:dyDescent="0.3">
      <c r="A138" s="2" t="s">
        <v>86</v>
      </c>
      <c r="B138" s="3">
        <v>31.440919999999998</v>
      </c>
      <c r="C138" s="3">
        <v>-83.529246000000001</v>
      </c>
      <c r="D138" s="1">
        <v>385</v>
      </c>
      <c r="E138" s="2" t="s">
        <v>49</v>
      </c>
      <c r="F138" s="1" t="s">
        <v>8</v>
      </c>
    </row>
    <row r="139" spans="1:6" x14ac:dyDescent="0.3">
      <c r="A139" s="2" t="s">
        <v>11</v>
      </c>
      <c r="B139" s="3">
        <v>31.428515999999998</v>
      </c>
      <c r="C139" s="3">
        <v>-83.517134999999996</v>
      </c>
      <c r="D139" s="1">
        <v>385</v>
      </c>
      <c r="E139" s="2" t="s">
        <v>49</v>
      </c>
      <c r="F139" s="1" t="s">
        <v>8</v>
      </c>
    </row>
    <row r="140" spans="1:6" x14ac:dyDescent="0.3">
      <c r="A140" s="2" t="s">
        <v>37</v>
      </c>
      <c r="B140" s="3">
        <v>31.415666999999999</v>
      </c>
      <c r="C140" s="3">
        <v>-83.501911000000007</v>
      </c>
      <c r="D140" s="1">
        <v>385</v>
      </c>
      <c r="E140" s="2" t="s">
        <v>49</v>
      </c>
      <c r="F140" s="1" t="s">
        <v>8</v>
      </c>
    </row>
    <row r="141" spans="1:6" x14ac:dyDescent="0.3">
      <c r="A141" s="2" t="s">
        <v>87</v>
      </c>
      <c r="B141" s="3">
        <v>31.268170000000001</v>
      </c>
      <c r="C141" s="3">
        <v>-83.473241000000002</v>
      </c>
      <c r="D141" s="1">
        <v>385</v>
      </c>
      <c r="E141" s="2" t="s">
        <v>49</v>
      </c>
      <c r="F141" s="1" t="s">
        <v>8</v>
      </c>
    </row>
    <row r="142" spans="1:6" x14ac:dyDescent="0.3">
      <c r="A142" s="2" t="s">
        <v>21</v>
      </c>
      <c r="B142" s="3">
        <v>31.261108</v>
      </c>
      <c r="C142" s="3">
        <v>-83.471535000000003</v>
      </c>
      <c r="D142" s="1">
        <v>385</v>
      </c>
      <c r="E142" s="2" t="s">
        <v>49</v>
      </c>
      <c r="F142" s="1" t="s">
        <v>8</v>
      </c>
    </row>
    <row r="143" spans="1:6" x14ac:dyDescent="0.3">
      <c r="A143" s="2" t="s">
        <v>21</v>
      </c>
      <c r="B143" s="3">
        <v>31.243507000000001</v>
      </c>
      <c r="C143" s="3">
        <v>-83.465355000000002</v>
      </c>
      <c r="D143" s="1">
        <v>385</v>
      </c>
      <c r="E143" s="2" t="s">
        <v>49</v>
      </c>
      <c r="F143" s="1" t="s">
        <v>8</v>
      </c>
    </row>
    <row r="144" spans="1:6" x14ac:dyDescent="0.3">
      <c r="A144" s="2" t="s">
        <v>88</v>
      </c>
      <c r="B144" s="3">
        <v>31.138836000000001</v>
      </c>
      <c r="C144" s="3">
        <v>-83.444462000000001</v>
      </c>
      <c r="D144" s="1">
        <v>385</v>
      </c>
      <c r="E144" s="2" t="s">
        <v>49</v>
      </c>
      <c r="F144" s="1" t="s">
        <v>8</v>
      </c>
    </row>
    <row r="145" spans="1:6" x14ac:dyDescent="0.3">
      <c r="A145" s="2" t="s">
        <v>89</v>
      </c>
      <c r="B145" s="3">
        <v>30.991741999999999</v>
      </c>
      <c r="C145" s="3">
        <v>-83.388801000000001</v>
      </c>
      <c r="D145" s="1">
        <v>385</v>
      </c>
      <c r="E145" s="2" t="s">
        <v>49</v>
      </c>
      <c r="F145" s="1" t="s">
        <v>8</v>
      </c>
    </row>
    <row r="146" spans="1:6" x14ac:dyDescent="0.3">
      <c r="A146" s="2" t="s">
        <v>6</v>
      </c>
      <c r="B146" s="3">
        <v>30.918305</v>
      </c>
      <c r="C146" s="3">
        <v>-83.365758999999997</v>
      </c>
      <c r="D146" s="1">
        <v>385</v>
      </c>
      <c r="E146" s="2" t="s">
        <v>49</v>
      </c>
      <c r="F146" s="1" t="s">
        <v>8</v>
      </c>
    </row>
    <row r="147" spans="1:6" x14ac:dyDescent="0.3">
      <c r="A147" s="1" t="s">
        <v>13</v>
      </c>
      <c r="B147" s="1">
        <v>30.894020000000001</v>
      </c>
      <c r="C147" s="1">
        <v>-83.349000000000004</v>
      </c>
      <c r="D147" s="1">
        <v>385</v>
      </c>
      <c r="E147" s="1" t="s">
        <v>49</v>
      </c>
      <c r="F147" s="1" t="s">
        <v>8</v>
      </c>
    </row>
    <row r="148" spans="1:6" x14ac:dyDescent="0.3">
      <c r="A148" s="2" t="s">
        <v>65</v>
      </c>
      <c r="B148" s="3">
        <v>30.827112</v>
      </c>
      <c r="C148" s="3">
        <v>-83.318423999999993</v>
      </c>
      <c r="D148" s="1">
        <v>385</v>
      </c>
      <c r="E148" s="2" t="s">
        <v>49</v>
      </c>
      <c r="F148" s="1" t="s">
        <v>8</v>
      </c>
    </row>
    <row r="149" spans="1:6" x14ac:dyDescent="0.3">
      <c r="A149" s="2" t="s">
        <v>90</v>
      </c>
      <c r="B149" s="3">
        <v>30.821591000000002</v>
      </c>
      <c r="C149" s="3">
        <v>-83.309832</v>
      </c>
      <c r="D149" s="1">
        <v>385</v>
      </c>
      <c r="E149" s="2" t="s">
        <v>49</v>
      </c>
      <c r="F149" s="1" t="s">
        <v>8</v>
      </c>
    </row>
    <row r="150" spans="1:6" x14ac:dyDescent="0.3">
      <c r="A150" s="2" t="s">
        <v>91</v>
      </c>
      <c r="B150" s="3">
        <v>30.819520000000001</v>
      </c>
      <c r="C150" s="3">
        <v>-83.314615000000003</v>
      </c>
      <c r="D150" s="1">
        <v>385</v>
      </c>
      <c r="E150" s="2" t="s">
        <v>49</v>
      </c>
      <c r="F150" s="1" t="s">
        <v>8</v>
      </c>
    </row>
    <row r="151" spans="1:6" x14ac:dyDescent="0.3">
      <c r="A151" s="1" t="s">
        <v>13</v>
      </c>
      <c r="B151" s="1">
        <v>30.817730000000001</v>
      </c>
      <c r="C151" s="1">
        <v>-83.319119999999998</v>
      </c>
      <c r="D151" s="1">
        <v>385</v>
      </c>
      <c r="E151" s="1" t="s">
        <v>49</v>
      </c>
      <c r="F151" s="1" t="s">
        <v>8</v>
      </c>
    </row>
    <row r="152" spans="1:6" x14ac:dyDescent="0.3">
      <c r="A152" s="2" t="s">
        <v>11</v>
      </c>
      <c r="B152" s="3">
        <v>30.753843</v>
      </c>
      <c r="C152" s="3">
        <v>-83.272473000000005</v>
      </c>
      <c r="D152" s="1">
        <v>385</v>
      </c>
      <c r="E152" s="2" t="s">
        <v>49</v>
      </c>
      <c r="F152" s="1" t="s">
        <v>8</v>
      </c>
    </row>
    <row r="153" spans="1:6" x14ac:dyDescent="0.3">
      <c r="A153" s="2" t="s">
        <v>11</v>
      </c>
      <c r="B153" s="3">
        <v>30.753243000000001</v>
      </c>
      <c r="C153" s="3">
        <v>-83.272551000000007</v>
      </c>
      <c r="D153" s="1">
        <v>385</v>
      </c>
      <c r="E153" s="2" t="s">
        <v>49</v>
      </c>
      <c r="F153" s="1" t="s">
        <v>8</v>
      </c>
    </row>
    <row r="154" spans="1:6" x14ac:dyDescent="0.3">
      <c r="A154" s="2" t="s">
        <v>92</v>
      </c>
      <c r="B154" s="3">
        <v>30.67876</v>
      </c>
      <c r="C154" s="3">
        <v>-83.224245999999994</v>
      </c>
      <c r="D154" s="1">
        <v>385</v>
      </c>
      <c r="E154" s="2" t="s">
        <v>49</v>
      </c>
      <c r="F154" s="1" t="s">
        <v>8</v>
      </c>
    </row>
    <row r="155" spans="1:6" x14ac:dyDescent="0.3">
      <c r="A155" s="2" t="s">
        <v>9</v>
      </c>
      <c r="B155" s="3">
        <v>30.665693000000001</v>
      </c>
      <c r="C155" s="3">
        <v>-83.209053999999995</v>
      </c>
      <c r="D155" s="1">
        <v>385</v>
      </c>
      <c r="E155" s="2" t="s">
        <v>49</v>
      </c>
      <c r="F155" s="1" t="s">
        <v>8</v>
      </c>
    </row>
    <row r="156" spans="1:6" x14ac:dyDescent="0.3">
      <c r="A156" s="2" t="s">
        <v>93</v>
      </c>
      <c r="B156" s="3">
        <v>30.644919999999999</v>
      </c>
      <c r="C156" s="3">
        <v>-83.187557999999996</v>
      </c>
      <c r="D156" s="1">
        <v>385</v>
      </c>
      <c r="E156" s="2" t="s">
        <v>49</v>
      </c>
      <c r="F156" s="1" t="s">
        <v>8</v>
      </c>
    </row>
    <row r="157" spans="1:6" x14ac:dyDescent="0.3">
      <c r="A157" s="2" t="s">
        <v>94</v>
      </c>
      <c r="B157" s="3">
        <v>30.641667000000002</v>
      </c>
      <c r="C157" s="3">
        <v>-83.189722000000003</v>
      </c>
      <c r="D157" s="1">
        <v>385</v>
      </c>
      <c r="E157" s="2" t="s">
        <v>49</v>
      </c>
      <c r="F157" s="1" t="s">
        <v>8</v>
      </c>
    </row>
    <row r="158" spans="1:6" x14ac:dyDescent="0.3">
      <c r="A158" s="2" t="s">
        <v>9</v>
      </c>
      <c r="B158" s="3">
        <v>34.472890999999997</v>
      </c>
      <c r="C158" s="3">
        <v>-83.070609000000005</v>
      </c>
      <c r="D158" s="1">
        <v>1106</v>
      </c>
      <c r="E158" s="2" t="s">
        <v>95</v>
      </c>
      <c r="F158" s="1" t="s">
        <v>8</v>
      </c>
    </row>
    <row r="159" spans="1:6" x14ac:dyDescent="0.3">
      <c r="A159" s="2" t="s">
        <v>6</v>
      </c>
      <c r="B159" s="3">
        <v>34.427017999999997</v>
      </c>
      <c r="C159" s="3">
        <v>-83.156396999999998</v>
      </c>
      <c r="D159" s="1">
        <v>1106</v>
      </c>
      <c r="E159" s="2" t="s">
        <v>95</v>
      </c>
      <c r="F159" s="1" t="s">
        <v>8</v>
      </c>
    </row>
    <row r="160" spans="1:6" x14ac:dyDescent="0.3">
      <c r="A160" s="2" t="s">
        <v>6</v>
      </c>
      <c r="B160" s="3">
        <v>34.415317999999999</v>
      </c>
      <c r="C160" s="3">
        <v>-83.179141999999999</v>
      </c>
      <c r="D160" s="1">
        <v>1106</v>
      </c>
      <c r="E160" s="2" t="s">
        <v>95</v>
      </c>
      <c r="F160" s="1" t="s">
        <v>8</v>
      </c>
    </row>
    <row r="161" spans="1:6" x14ac:dyDescent="0.3">
      <c r="A161" s="2" t="s">
        <v>96</v>
      </c>
      <c r="B161" s="3">
        <v>34.392567999999997</v>
      </c>
      <c r="C161" s="3">
        <v>-83.229298999999997</v>
      </c>
      <c r="D161" s="1">
        <v>1106</v>
      </c>
      <c r="E161" s="2" t="s">
        <v>95</v>
      </c>
      <c r="F161" s="1" t="s">
        <v>8</v>
      </c>
    </row>
    <row r="162" spans="1:6" x14ac:dyDescent="0.3">
      <c r="A162" s="2" t="s">
        <v>97</v>
      </c>
      <c r="B162" s="3">
        <v>34.390248</v>
      </c>
      <c r="C162" s="3">
        <v>-83.227453999999994</v>
      </c>
      <c r="D162" s="1">
        <v>1106</v>
      </c>
      <c r="E162" s="2" t="s">
        <v>95</v>
      </c>
      <c r="F162" s="1" t="s">
        <v>8</v>
      </c>
    </row>
    <row r="163" spans="1:6" x14ac:dyDescent="0.3">
      <c r="A163" s="2" t="s">
        <v>21</v>
      </c>
      <c r="B163" s="3">
        <v>34.351984000000002</v>
      </c>
      <c r="C163" s="3">
        <v>-83.304122000000007</v>
      </c>
      <c r="D163" s="1">
        <v>1106</v>
      </c>
      <c r="E163" s="2" t="s">
        <v>95</v>
      </c>
      <c r="F163" s="1" t="s">
        <v>8</v>
      </c>
    </row>
    <row r="164" spans="1:6" x14ac:dyDescent="0.3">
      <c r="A164" s="2" t="s">
        <v>98</v>
      </c>
      <c r="B164" s="3">
        <v>34.347759000000003</v>
      </c>
      <c r="C164" s="3">
        <v>-83.320742999999993</v>
      </c>
      <c r="D164" s="1">
        <v>1106</v>
      </c>
      <c r="E164" s="2" t="s">
        <v>95</v>
      </c>
      <c r="F164" s="1" t="s">
        <v>8</v>
      </c>
    </row>
    <row r="165" spans="1:6" x14ac:dyDescent="0.3">
      <c r="A165" s="2" t="s">
        <v>99</v>
      </c>
      <c r="B165" s="3">
        <v>34.347042000000002</v>
      </c>
      <c r="C165" s="3">
        <v>-83.319389000000001</v>
      </c>
      <c r="D165" s="1">
        <v>1106</v>
      </c>
      <c r="E165" s="2" t="s">
        <v>95</v>
      </c>
      <c r="F165" s="1" t="s">
        <v>8</v>
      </c>
    </row>
    <row r="166" spans="1:6" x14ac:dyDescent="0.3">
      <c r="A166" s="2" t="s">
        <v>100</v>
      </c>
      <c r="B166" s="3">
        <v>34.344994999999997</v>
      </c>
      <c r="C166" s="3">
        <v>-83.317565000000002</v>
      </c>
      <c r="D166" s="1">
        <v>1106</v>
      </c>
      <c r="E166" s="2" t="s">
        <v>95</v>
      </c>
      <c r="F166" s="1" t="s">
        <v>8</v>
      </c>
    </row>
    <row r="167" spans="1:6" x14ac:dyDescent="0.3">
      <c r="A167" s="1" t="s">
        <v>13</v>
      </c>
      <c r="B167" s="1">
        <v>34.256990000000002</v>
      </c>
      <c r="C167" s="1">
        <v>-83.464759999999998</v>
      </c>
      <c r="D167" s="1">
        <v>1106</v>
      </c>
      <c r="E167" s="1" t="s">
        <v>95</v>
      </c>
      <c r="F167" s="1" t="s">
        <v>8</v>
      </c>
    </row>
    <row r="168" spans="1:6" x14ac:dyDescent="0.3">
      <c r="A168" s="2" t="s">
        <v>101</v>
      </c>
      <c r="B168" s="3">
        <v>34.253400999999997</v>
      </c>
      <c r="C168" s="3">
        <v>-83.462301999999994</v>
      </c>
      <c r="D168" s="1">
        <v>1106</v>
      </c>
      <c r="E168" s="2" t="s">
        <v>95</v>
      </c>
      <c r="F168" s="1" t="s">
        <v>8</v>
      </c>
    </row>
    <row r="169" spans="1:6" x14ac:dyDescent="0.3">
      <c r="A169" s="2" t="s">
        <v>65</v>
      </c>
      <c r="B169" s="3">
        <v>34.247185999999999</v>
      </c>
      <c r="C169" s="3">
        <v>-83.457351000000003</v>
      </c>
      <c r="D169" s="1">
        <v>1106</v>
      </c>
      <c r="E169" s="2" t="s">
        <v>95</v>
      </c>
      <c r="F169" s="1" t="s">
        <v>8</v>
      </c>
    </row>
    <row r="170" spans="1:6" x14ac:dyDescent="0.3">
      <c r="A170" s="2" t="s">
        <v>101</v>
      </c>
      <c r="B170" s="3">
        <v>34.227885999999998</v>
      </c>
      <c r="C170" s="3">
        <v>-83.498602000000005</v>
      </c>
      <c r="D170" s="1">
        <v>1106</v>
      </c>
      <c r="E170" s="2" t="s">
        <v>95</v>
      </c>
      <c r="F170" s="1" t="s">
        <v>8</v>
      </c>
    </row>
    <row r="171" spans="1:6" x14ac:dyDescent="0.3">
      <c r="A171" s="2" t="s">
        <v>102</v>
      </c>
      <c r="B171" s="3">
        <v>34.152746</v>
      </c>
      <c r="C171" s="3">
        <v>-83.650665000000004</v>
      </c>
      <c r="D171" s="1">
        <v>1766</v>
      </c>
      <c r="E171" s="2" t="s">
        <v>95</v>
      </c>
      <c r="F171" s="1" t="s">
        <v>8</v>
      </c>
    </row>
    <row r="172" spans="1:6" x14ac:dyDescent="0.3">
      <c r="A172" s="1" t="s">
        <v>13</v>
      </c>
      <c r="B172" s="1">
        <v>34.152720000000002</v>
      </c>
      <c r="C172" s="1">
        <v>-83.640450000000001</v>
      </c>
      <c r="D172" s="1">
        <v>1766</v>
      </c>
      <c r="E172" s="1" t="s">
        <v>95</v>
      </c>
      <c r="F172" s="1" t="s">
        <v>8</v>
      </c>
    </row>
    <row r="173" spans="1:6" x14ac:dyDescent="0.3">
      <c r="A173" s="2" t="s">
        <v>11</v>
      </c>
      <c r="B173" s="3">
        <v>34.119554999999998</v>
      </c>
      <c r="C173" s="3">
        <v>-83.762789999999995</v>
      </c>
      <c r="D173" s="1">
        <v>1766</v>
      </c>
      <c r="E173" s="2" t="s">
        <v>95</v>
      </c>
      <c r="F173" s="1" t="s">
        <v>8</v>
      </c>
    </row>
    <row r="174" spans="1:6" x14ac:dyDescent="0.3">
      <c r="A174" s="1" t="s">
        <v>13</v>
      </c>
      <c r="B174" s="1">
        <v>34.119500000000002</v>
      </c>
      <c r="C174" s="1">
        <v>-83.7637</v>
      </c>
      <c r="D174" s="1">
        <v>1766</v>
      </c>
      <c r="E174" s="1" t="s">
        <v>95</v>
      </c>
      <c r="F174" s="1" t="s">
        <v>8</v>
      </c>
    </row>
    <row r="175" spans="1:6" x14ac:dyDescent="0.3">
      <c r="A175" s="1" t="s">
        <v>13</v>
      </c>
      <c r="B175" s="1">
        <v>34.105580000000003</v>
      </c>
      <c r="C175" s="1">
        <v>-84.031379999999999</v>
      </c>
      <c r="D175" s="1">
        <v>1766</v>
      </c>
      <c r="E175" s="1" t="s">
        <v>95</v>
      </c>
      <c r="F175" s="1" t="s">
        <v>8</v>
      </c>
    </row>
    <row r="176" spans="1:6" x14ac:dyDescent="0.3">
      <c r="A176" s="1" t="s">
        <v>13</v>
      </c>
      <c r="B176" s="1">
        <v>34.093069999999997</v>
      </c>
      <c r="C176" s="1">
        <v>-83.810159999999996</v>
      </c>
      <c r="D176" s="1">
        <v>1766</v>
      </c>
      <c r="E176" s="1" t="s">
        <v>95</v>
      </c>
      <c r="F176" s="1" t="s">
        <v>8</v>
      </c>
    </row>
    <row r="177" spans="1:6" x14ac:dyDescent="0.3">
      <c r="A177" s="1" t="s">
        <v>13</v>
      </c>
      <c r="B177" s="1">
        <v>34.045000000000002</v>
      </c>
      <c r="C177" s="1">
        <v>-83.993510000000001</v>
      </c>
      <c r="D177" s="1">
        <v>1766</v>
      </c>
      <c r="E177" s="1" t="s">
        <v>95</v>
      </c>
      <c r="F177" s="1" t="s">
        <v>8</v>
      </c>
    </row>
    <row r="178" spans="1:6" x14ac:dyDescent="0.3">
      <c r="A178" s="1" t="s">
        <v>13</v>
      </c>
      <c r="B178" s="1">
        <v>34.021270000000001</v>
      </c>
      <c r="C178" s="1">
        <v>-84.119479999999996</v>
      </c>
      <c r="D178" s="1">
        <v>1766</v>
      </c>
      <c r="E178" s="1" t="s">
        <v>95</v>
      </c>
      <c r="F178" s="1" t="s">
        <v>8</v>
      </c>
    </row>
    <row r="179" spans="1:6" x14ac:dyDescent="0.3">
      <c r="A179" s="1" t="s">
        <v>13</v>
      </c>
      <c r="B179" s="1">
        <v>33.96978</v>
      </c>
      <c r="C179" s="1">
        <v>-84.2453</v>
      </c>
      <c r="D179" s="1">
        <v>1766</v>
      </c>
      <c r="E179" s="1" t="s">
        <v>95</v>
      </c>
      <c r="F179" s="1" t="s">
        <v>8</v>
      </c>
    </row>
    <row r="180" spans="1:6" x14ac:dyDescent="0.3">
      <c r="A180" s="1" t="s">
        <v>13</v>
      </c>
      <c r="B180" s="1">
        <v>33.961179999999999</v>
      </c>
      <c r="C180" s="1">
        <v>-84.226150000000004</v>
      </c>
      <c r="D180" s="1">
        <v>1766</v>
      </c>
      <c r="E180" s="1" t="s">
        <v>95</v>
      </c>
      <c r="F180" s="1" t="s">
        <v>8</v>
      </c>
    </row>
    <row r="181" spans="1:6" x14ac:dyDescent="0.3">
      <c r="A181" s="1" t="s">
        <v>13</v>
      </c>
      <c r="B181" s="1">
        <v>33.960349999999998</v>
      </c>
      <c r="C181" s="1">
        <v>-84.005600000000001</v>
      </c>
      <c r="D181" s="1">
        <v>1766</v>
      </c>
      <c r="E181" s="1" t="s">
        <v>95</v>
      </c>
      <c r="F181" s="1" t="s">
        <v>8</v>
      </c>
    </row>
    <row r="182" spans="1:6" x14ac:dyDescent="0.3">
      <c r="A182" s="1" t="s">
        <v>13</v>
      </c>
      <c r="B182" s="1">
        <v>33.954459999999997</v>
      </c>
      <c r="C182" s="1">
        <v>-84.219669999999994</v>
      </c>
      <c r="D182" s="1">
        <v>1766</v>
      </c>
      <c r="E182" s="1" t="s">
        <v>95</v>
      </c>
      <c r="F182" s="1" t="s">
        <v>8</v>
      </c>
    </row>
    <row r="183" spans="1:6" x14ac:dyDescent="0.3">
      <c r="A183" s="1" t="s">
        <v>13</v>
      </c>
      <c r="B183" s="1">
        <v>33.942979999999999</v>
      </c>
      <c r="C183" s="1">
        <v>-84.238249999999994</v>
      </c>
      <c r="D183" s="1">
        <v>1766</v>
      </c>
      <c r="E183" s="1" t="s">
        <v>95</v>
      </c>
      <c r="F183" s="1" t="s">
        <v>8</v>
      </c>
    </row>
    <row r="184" spans="1:6" x14ac:dyDescent="0.3">
      <c r="A184" s="1" t="s">
        <v>13</v>
      </c>
      <c r="B184" s="1">
        <v>33.935009999999998</v>
      </c>
      <c r="C184" s="1">
        <v>-84.156850000000006</v>
      </c>
      <c r="D184" s="1">
        <v>1766</v>
      </c>
      <c r="E184" s="1" t="s">
        <v>95</v>
      </c>
      <c r="F184" s="1" t="s">
        <v>8</v>
      </c>
    </row>
    <row r="185" spans="1:6" x14ac:dyDescent="0.3">
      <c r="A185" s="1" t="s">
        <v>13</v>
      </c>
      <c r="B185" s="1">
        <v>33.925429999999999</v>
      </c>
      <c r="C185" s="1">
        <v>-84.113429999999994</v>
      </c>
      <c r="D185" s="1">
        <v>1766</v>
      </c>
      <c r="E185" s="1" t="s">
        <v>95</v>
      </c>
      <c r="F185" s="1" t="s">
        <v>8</v>
      </c>
    </row>
    <row r="186" spans="1:6" x14ac:dyDescent="0.3">
      <c r="A186" s="1" t="s">
        <v>13</v>
      </c>
      <c r="B186" s="1">
        <v>33.924489999999999</v>
      </c>
      <c r="C186" s="1">
        <v>-84.017330000000001</v>
      </c>
      <c r="D186" s="1">
        <v>1766</v>
      </c>
      <c r="E186" s="1" t="s">
        <v>95</v>
      </c>
      <c r="F186" s="1" t="s">
        <v>8</v>
      </c>
    </row>
    <row r="187" spans="1:6" x14ac:dyDescent="0.3">
      <c r="A187" s="2" t="s">
        <v>103</v>
      </c>
      <c r="B187" s="3">
        <v>33.910536999999998</v>
      </c>
      <c r="C187" s="3">
        <v>-84.239704000000003</v>
      </c>
      <c r="D187" s="1">
        <v>1766</v>
      </c>
      <c r="E187" s="2" t="s">
        <v>95</v>
      </c>
      <c r="F187" s="1" t="s">
        <v>8</v>
      </c>
    </row>
    <row r="188" spans="1:6" x14ac:dyDescent="0.3">
      <c r="A188" s="2" t="s">
        <v>104</v>
      </c>
      <c r="B188" s="3">
        <v>33.901488000000001</v>
      </c>
      <c r="C188" s="3">
        <v>-84.245580000000004</v>
      </c>
      <c r="D188" s="1">
        <v>1766</v>
      </c>
      <c r="E188" s="2" t="s">
        <v>95</v>
      </c>
      <c r="F188" s="1" t="s">
        <v>8</v>
      </c>
    </row>
    <row r="189" spans="1:6" x14ac:dyDescent="0.3">
      <c r="A189" s="1" t="s">
        <v>13</v>
      </c>
      <c r="B189" s="1">
        <v>33.866030000000002</v>
      </c>
      <c r="C189" s="1">
        <v>-84.310050000000004</v>
      </c>
      <c r="D189" s="1">
        <v>1766</v>
      </c>
      <c r="E189" s="1" t="s">
        <v>95</v>
      </c>
      <c r="F189" s="1" t="s">
        <v>8</v>
      </c>
    </row>
    <row r="190" spans="1:6" x14ac:dyDescent="0.3">
      <c r="A190" s="1" t="s">
        <v>13</v>
      </c>
      <c r="B190" s="1">
        <v>33.65842</v>
      </c>
      <c r="C190" s="1">
        <v>-84.427760000000006</v>
      </c>
      <c r="D190" s="1">
        <v>1074</v>
      </c>
      <c r="E190" s="1" t="s">
        <v>95</v>
      </c>
      <c r="F190" s="1" t="s">
        <v>8</v>
      </c>
    </row>
    <row r="191" spans="1:6" x14ac:dyDescent="0.3">
      <c r="A191" s="1" t="s">
        <v>13</v>
      </c>
      <c r="B191" s="1">
        <v>33.64884</v>
      </c>
      <c r="C191" s="1">
        <v>-84.462999999999994</v>
      </c>
      <c r="D191" s="1">
        <v>1074</v>
      </c>
      <c r="E191" s="1" t="s">
        <v>95</v>
      </c>
      <c r="F191" s="1" t="s">
        <v>8</v>
      </c>
    </row>
    <row r="192" spans="1:6" x14ac:dyDescent="0.3">
      <c r="A192" s="2" t="s">
        <v>105</v>
      </c>
      <c r="B192" s="3">
        <v>33.624299999999998</v>
      </c>
      <c r="C192" s="3">
        <v>-84.466499999999996</v>
      </c>
      <c r="D192" s="1">
        <v>1074</v>
      </c>
      <c r="E192" s="2" t="s">
        <v>95</v>
      </c>
      <c r="F192" s="1" t="s">
        <v>8</v>
      </c>
    </row>
    <row r="193" spans="1:6" x14ac:dyDescent="0.3">
      <c r="A193" s="2" t="s">
        <v>65</v>
      </c>
      <c r="B193" s="3">
        <v>33.571255999999998</v>
      </c>
      <c r="C193" s="3">
        <v>-84.542026000000007</v>
      </c>
      <c r="D193" s="1">
        <v>1074</v>
      </c>
      <c r="E193" s="2" t="s">
        <v>95</v>
      </c>
      <c r="F193" s="1" t="s">
        <v>8</v>
      </c>
    </row>
    <row r="194" spans="1:6" x14ac:dyDescent="0.3">
      <c r="A194" s="1" t="s">
        <v>13</v>
      </c>
      <c r="B194" s="1">
        <v>33.568620000000003</v>
      </c>
      <c r="C194" s="1">
        <v>-84.526650000000004</v>
      </c>
      <c r="D194" s="1">
        <v>1074</v>
      </c>
      <c r="E194" s="1" t="s">
        <v>95</v>
      </c>
      <c r="F194" s="1" t="s">
        <v>8</v>
      </c>
    </row>
    <row r="195" spans="1:6" x14ac:dyDescent="0.3">
      <c r="A195" s="1" t="s">
        <v>13</v>
      </c>
      <c r="B195" s="1">
        <v>33.541989999999998</v>
      </c>
      <c r="C195" s="1">
        <v>-84.577809999999999</v>
      </c>
      <c r="D195" s="1">
        <v>1074</v>
      </c>
      <c r="E195" s="1" t="s">
        <v>95</v>
      </c>
      <c r="F195" s="1" t="s">
        <v>8</v>
      </c>
    </row>
    <row r="196" spans="1:6" x14ac:dyDescent="0.3">
      <c r="A196" s="2" t="s">
        <v>106</v>
      </c>
      <c r="B196" s="3">
        <v>33.541826</v>
      </c>
      <c r="C196" s="3">
        <v>-84.576824000000002</v>
      </c>
      <c r="D196" s="1">
        <v>1074</v>
      </c>
      <c r="E196" s="2" t="s">
        <v>95</v>
      </c>
      <c r="F196" s="1" t="s">
        <v>8</v>
      </c>
    </row>
    <row r="197" spans="1:6" x14ac:dyDescent="0.3">
      <c r="A197" s="1" t="s">
        <v>13</v>
      </c>
      <c r="B197" s="1">
        <v>33.39734</v>
      </c>
      <c r="C197" s="1">
        <v>-84.753280000000004</v>
      </c>
      <c r="D197" s="1">
        <v>1074</v>
      </c>
      <c r="E197" s="1" t="s">
        <v>95</v>
      </c>
      <c r="F197" s="1" t="s">
        <v>8</v>
      </c>
    </row>
    <row r="198" spans="1:6" x14ac:dyDescent="0.3">
      <c r="A198" s="2" t="s">
        <v>65</v>
      </c>
      <c r="B198" s="3">
        <v>33.396442999999998</v>
      </c>
      <c r="C198" s="3">
        <v>-84.744887000000006</v>
      </c>
      <c r="D198" s="1">
        <v>1074</v>
      </c>
      <c r="E198" s="2" t="s">
        <v>95</v>
      </c>
      <c r="F198" s="1" t="s">
        <v>8</v>
      </c>
    </row>
    <row r="199" spans="1:6" x14ac:dyDescent="0.3">
      <c r="A199" s="1" t="s">
        <v>13</v>
      </c>
      <c r="B199" s="1">
        <v>33.359830000000002</v>
      </c>
      <c r="C199" s="1">
        <v>-84.752170000000007</v>
      </c>
      <c r="D199" s="1">
        <v>1074</v>
      </c>
      <c r="E199" s="1" t="s">
        <v>95</v>
      </c>
      <c r="F199" s="1" t="s">
        <v>8</v>
      </c>
    </row>
    <row r="200" spans="1:6" x14ac:dyDescent="0.3">
      <c r="A200" s="2" t="s">
        <v>107</v>
      </c>
      <c r="B200" s="3">
        <v>33.326608999999998</v>
      </c>
      <c r="C200" s="3">
        <v>-84.779263</v>
      </c>
      <c r="D200" s="1">
        <v>1074</v>
      </c>
      <c r="E200" s="2" t="s">
        <v>95</v>
      </c>
      <c r="F200" s="1" t="s">
        <v>8</v>
      </c>
    </row>
    <row r="201" spans="1:6" x14ac:dyDescent="0.3">
      <c r="A201" s="2" t="s">
        <v>11</v>
      </c>
      <c r="B201" s="3">
        <v>33.321111000000002</v>
      </c>
      <c r="C201" s="3">
        <v>-84.776757000000003</v>
      </c>
      <c r="D201" s="1">
        <v>1074</v>
      </c>
      <c r="E201" s="2" t="s">
        <v>95</v>
      </c>
      <c r="F201" s="1" t="s">
        <v>8</v>
      </c>
    </row>
    <row r="202" spans="1:6" x14ac:dyDescent="0.3">
      <c r="A202" s="2" t="s">
        <v>37</v>
      </c>
      <c r="B202" s="3">
        <v>33.160556999999997</v>
      </c>
      <c r="C202" s="3">
        <v>-84.870805000000004</v>
      </c>
      <c r="D202" s="1">
        <v>1074</v>
      </c>
      <c r="E202" s="2" t="s">
        <v>95</v>
      </c>
      <c r="F202" s="1" t="s">
        <v>8</v>
      </c>
    </row>
    <row r="203" spans="1:6" x14ac:dyDescent="0.3">
      <c r="A203" s="2" t="s">
        <v>6</v>
      </c>
      <c r="B203" s="3">
        <v>33.084395000000001</v>
      </c>
      <c r="C203" s="3">
        <v>-84.915871999999993</v>
      </c>
      <c r="D203" s="1">
        <v>1074</v>
      </c>
      <c r="E203" s="2" t="s">
        <v>95</v>
      </c>
      <c r="F203" s="1" t="s">
        <v>8</v>
      </c>
    </row>
    <row r="204" spans="1:6" x14ac:dyDescent="0.3">
      <c r="A204" s="1" t="s">
        <v>13</v>
      </c>
      <c r="B204" s="1">
        <v>33.042839999999998</v>
      </c>
      <c r="C204" s="1">
        <v>-84.976089999999999</v>
      </c>
      <c r="D204" s="1">
        <v>1074</v>
      </c>
      <c r="E204" s="1" t="s">
        <v>95</v>
      </c>
      <c r="F204" s="1" t="s">
        <v>8</v>
      </c>
    </row>
    <row r="205" spans="1:6" x14ac:dyDescent="0.3">
      <c r="A205" s="2" t="s">
        <v>11</v>
      </c>
      <c r="B205" s="3">
        <v>32.990507999999998</v>
      </c>
      <c r="C205" s="3">
        <v>-85.029562999999996</v>
      </c>
      <c r="D205" s="1">
        <v>1074</v>
      </c>
      <c r="E205" s="2" t="s">
        <v>95</v>
      </c>
      <c r="F205" s="1" t="s">
        <v>8</v>
      </c>
    </row>
    <row r="206" spans="1:6" x14ac:dyDescent="0.3">
      <c r="A206" s="2" t="s">
        <v>108</v>
      </c>
      <c r="B206" s="3">
        <v>32.986114999999998</v>
      </c>
      <c r="C206" s="3">
        <v>-85.029677000000007</v>
      </c>
      <c r="D206" s="1">
        <v>1074</v>
      </c>
      <c r="E206" s="2" t="s">
        <v>95</v>
      </c>
      <c r="F206" s="1" t="s">
        <v>8</v>
      </c>
    </row>
    <row r="207" spans="1:6" x14ac:dyDescent="0.3">
      <c r="A207" s="2" t="s">
        <v>109</v>
      </c>
      <c r="B207" s="3">
        <v>32.661118999999999</v>
      </c>
      <c r="C207" s="3">
        <v>-84.984403</v>
      </c>
      <c r="D207" s="1">
        <v>1074</v>
      </c>
      <c r="E207" s="2" t="s">
        <v>95</v>
      </c>
      <c r="F207" s="1" t="s">
        <v>8</v>
      </c>
    </row>
    <row r="208" spans="1:6" x14ac:dyDescent="0.3">
      <c r="A208" s="2" t="s">
        <v>110</v>
      </c>
      <c r="B208" s="3">
        <v>32.455193000000001</v>
      </c>
      <c r="C208" s="3">
        <v>-84.945216000000002</v>
      </c>
      <c r="D208" s="1">
        <v>1074</v>
      </c>
      <c r="E208" s="2" t="s">
        <v>95</v>
      </c>
      <c r="F208" s="1" t="s">
        <v>8</v>
      </c>
    </row>
    <row r="209" spans="1:6" x14ac:dyDescent="0.3">
      <c r="A209" s="2" t="s">
        <v>9</v>
      </c>
      <c r="B209" s="3">
        <v>33.677889</v>
      </c>
      <c r="C209" s="3">
        <v>-85.320263999999995</v>
      </c>
      <c r="D209" s="1">
        <v>1077</v>
      </c>
      <c r="E209" s="2" t="s">
        <v>111</v>
      </c>
      <c r="F209" s="1" t="s">
        <v>8</v>
      </c>
    </row>
    <row r="210" spans="1:6" x14ac:dyDescent="0.3">
      <c r="A210" s="2" t="s">
        <v>112</v>
      </c>
      <c r="B210" s="3">
        <v>33.740319</v>
      </c>
      <c r="C210" s="3">
        <v>-85.287431999999995</v>
      </c>
      <c r="D210" s="1">
        <v>1077</v>
      </c>
      <c r="E210" s="2" t="s">
        <v>111</v>
      </c>
      <c r="F210" s="1" t="s">
        <v>8</v>
      </c>
    </row>
    <row r="211" spans="1:6" x14ac:dyDescent="0.3">
      <c r="A211" s="2" t="s">
        <v>11</v>
      </c>
      <c r="B211" s="3">
        <v>33.681790999999997</v>
      </c>
      <c r="C211" s="3">
        <v>-85.262472000000002</v>
      </c>
      <c r="D211" s="1">
        <v>1077</v>
      </c>
      <c r="E211" s="2" t="s">
        <v>111</v>
      </c>
      <c r="F211" s="1" t="s">
        <v>8</v>
      </c>
    </row>
    <row r="212" spans="1:6" x14ac:dyDescent="0.3">
      <c r="A212" s="2" t="s">
        <v>113</v>
      </c>
      <c r="B212" s="3">
        <v>33.681790999999997</v>
      </c>
      <c r="C212" s="3">
        <v>-85.262472000000002</v>
      </c>
      <c r="D212" s="1">
        <v>1077</v>
      </c>
      <c r="E212" s="2" t="s">
        <v>111</v>
      </c>
      <c r="F212" s="1" t="s">
        <v>8</v>
      </c>
    </row>
    <row r="213" spans="1:6" x14ac:dyDescent="0.3">
      <c r="A213" s="2" t="s">
        <v>37</v>
      </c>
      <c r="B213" s="3">
        <v>33.691208000000003</v>
      </c>
      <c r="C213" s="3">
        <v>-85.188536999999997</v>
      </c>
      <c r="D213" s="1">
        <v>1077</v>
      </c>
      <c r="E213" s="2" t="s">
        <v>111</v>
      </c>
      <c r="F213" s="1" t="s">
        <v>8</v>
      </c>
    </row>
    <row r="214" spans="1:6" x14ac:dyDescent="0.3">
      <c r="A214" s="2" t="s">
        <v>65</v>
      </c>
      <c r="B214" s="3">
        <v>33.709114999999997</v>
      </c>
      <c r="C214" s="3">
        <v>-85.161938000000006</v>
      </c>
      <c r="D214" s="1">
        <v>1077</v>
      </c>
      <c r="E214" s="2" t="s">
        <v>111</v>
      </c>
      <c r="F214" s="1" t="s">
        <v>8</v>
      </c>
    </row>
    <row r="215" spans="1:6" x14ac:dyDescent="0.3">
      <c r="A215" s="2" t="s">
        <v>114</v>
      </c>
      <c r="B215" s="3">
        <v>33.681868000000001</v>
      </c>
      <c r="C215" s="3">
        <v>-85.150946000000005</v>
      </c>
      <c r="D215" s="1">
        <v>1077</v>
      </c>
      <c r="E215" s="2" t="s">
        <v>111</v>
      </c>
      <c r="F215" s="1" t="s">
        <v>8</v>
      </c>
    </row>
    <row r="216" spans="1:6" x14ac:dyDescent="0.3">
      <c r="A216" s="2" t="s">
        <v>115</v>
      </c>
      <c r="B216" s="3">
        <v>33.688388000000003</v>
      </c>
      <c r="C216" s="3">
        <v>-85.150865999999994</v>
      </c>
      <c r="D216" s="1">
        <v>1077</v>
      </c>
      <c r="E216" s="2" t="s">
        <v>111</v>
      </c>
      <c r="F216" s="1" t="s">
        <v>8</v>
      </c>
    </row>
    <row r="217" spans="1:6" x14ac:dyDescent="0.3">
      <c r="A217" s="2" t="s">
        <v>6</v>
      </c>
      <c r="B217" s="3">
        <v>33.696458</v>
      </c>
      <c r="C217" s="3">
        <v>-85.085881000000001</v>
      </c>
      <c r="D217" s="1">
        <v>1077</v>
      </c>
      <c r="E217" s="2" t="s">
        <v>111</v>
      </c>
      <c r="F217" s="1" t="s">
        <v>8</v>
      </c>
    </row>
    <row r="218" spans="1:6" x14ac:dyDescent="0.3">
      <c r="A218" s="2" t="s">
        <v>11</v>
      </c>
      <c r="B218" s="3">
        <v>33.719926000000001</v>
      </c>
      <c r="C218" s="3">
        <v>-85.028790999999998</v>
      </c>
      <c r="D218" s="1">
        <v>1077</v>
      </c>
      <c r="E218" s="2" t="s">
        <v>111</v>
      </c>
      <c r="F218" s="1" t="s">
        <v>8</v>
      </c>
    </row>
    <row r="219" spans="1:6" x14ac:dyDescent="0.3">
      <c r="A219" s="2" t="s">
        <v>116</v>
      </c>
      <c r="B219" s="3">
        <v>33.721277000000001</v>
      </c>
      <c r="C219" s="3">
        <v>-85.028647000000007</v>
      </c>
      <c r="D219" s="1">
        <v>1077</v>
      </c>
      <c r="E219" s="2" t="s">
        <v>111</v>
      </c>
      <c r="F219" s="1" t="s">
        <v>8</v>
      </c>
    </row>
    <row r="220" spans="1:6" x14ac:dyDescent="0.3">
      <c r="A220" s="2" t="s">
        <v>117</v>
      </c>
      <c r="B220" s="3">
        <v>33.719444000000003</v>
      </c>
      <c r="C220" s="3">
        <v>-85.026667000000003</v>
      </c>
      <c r="D220" s="1">
        <v>1077</v>
      </c>
      <c r="E220" s="2" t="s">
        <v>111</v>
      </c>
      <c r="F220" s="1" t="s">
        <v>8</v>
      </c>
    </row>
    <row r="221" spans="1:6" x14ac:dyDescent="0.3">
      <c r="A221" s="1" t="s">
        <v>13</v>
      </c>
      <c r="B221" s="1">
        <v>33.728340000000003</v>
      </c>
      <c r="C221" s="1">
        <v>-84.940799999999996</v>
      </c>
      <c r="D221" s="1">
        <v>1077</v>
      </c>
      <c r="E221" s="1" t="s">
        <v>111</v>
      </c>
      <c r="F221" s="1" t="s">
        <v>8</v>
      </c>
    </row>
    <row r="222" spans="1:6" x14ac:dyDescent="0.3">
      <c r="A222" s="2" t="s">
        <v>118</v>
      </c>
      <c r="B222" s="3">
        <v>33.721590999999997</v>
      </c>
      <c r="C222" s="3">
        <v>-84.903287000000006</v>
      </c>
      <c r="D222" s="1">
        <v>1077</v>
      </c>
      <c r="E222" s="2" t="s">
        <v>111</v>
      </c>
      <c r="F222" s="1" t="s">
        <v>8</v>
      </c>
    </row>
    <row r="223" spans="1:6" x14ac:dyDescent="0.3">
      <c r="A223" s="1" t="s">
        <v>13</v>
      </c>
      <c r="B223" s="1">
        <v>33.729819999999997</v>
      </c>
      <c r="C223" s="1">
        <v>-84.761279999999999</v>
      </c>
      <c r="D223" s="1">
        <v>1077</v>
      </c>
      <c r="E223" s="1" t="s">
        <v>111</v>
      </c>
      <c r="F223" s="1" t="s">
        <v>8</v>
      </c>
    </row>
    <row r="224" spans="1:6" x14ac:dyDescent="0.3">
      <c r="A224" s="2" t="s">
        <v>65</v>
      </c>
      <c r="B224" s="3">
        <v>33.732298</v>
      </c>
      <c r="C224" s="3">
        <v>-84.758319</v>
      </c>
      <c r="D224" s="1">
        <v>897</v>
      </c>
      <c r="E224" s="2" t="s">
        <v>111</v>
      </c>
      <c r="F224" s="1" t="s">
        <v>8</v>
      </c>
    </row>
    <row r="225" spans="1:6" x14ac:dyDescent="0.3">
      <c r="A225" s="1" t="s">
        <v>13</v>
      </c>
      <c r="B225" s="1">
        <v>33.751860000000001</v>
      </c>
      <c r="C225" s="1">
        <v>-84.721040000000002</v>
      </c>
      <c r="D225" s="1">
        <v>897</v>
      </c>
      <c r="E225" s="1" t="s">
        <v>111</v>
      </c>
      <c r="F225" s="1" t="s">
        <v>8</v>
      </c>
    </row>
    <row r="226" spans="1:6" x14ac:dyDescent="0.3">
      <c r="A226" s="1" t="s">
        <v>13</v>
      </c>
      <c r="B226" s="1">
        <v>33.731769999999997</v>
      </c>
      <c r="C226" s="1">
        <v>-84.669449999999998</v>
      </c>
      <c r="D226" s="1">
        <v>897</v>
      </c>
      <c r="E226" s="1" t="s">
        <v>111</v>
      </c>
      <c r="F226" s="1" t="s">
        <v>8</v>
      </c>
    </row>
    <row r="227" spans="1:6" x14ac:dyDescent="0.3">
      <c r="A227" s="2" t="s">
        <v>119</v>
      </c>
      <c r="B227" s="3">
        <v>33.771121999999998</v>
      </c>
      <c r="C227" s="3">
        <v>-84.652625</v>
      </c>
      <c r="D227" s="1">
        <v>897</v>
      </c>
      <c r="E227" s="2" t="s">
        <v>111</v>
      </c>
      <c r="F227" s="1" t="s">
        <v>8</v>
      </c>
    </row>
    <row r="228" spans="1:6" x14ac:dyDescent="0.3">
      <c r="A228" s="2" t="s">
        <v>16</v>
      </c>
      <c r="B228" s="3">
        <v>33.767228000000003</v>
      </c>
      <c r="C228" s="3">
        <v>-84.651910999999998</v>
      </c>
      <c r="D228" s="1">
        <v>897</v>
      </c>
      <c r="E228" s="2" t="s">
        <v>111</v>
      </c>
      <c r="F228" s="1" t="s">
        <v>8</v>
      </c>
    </row>
    <row r="229" spans="1:6" x14ac:dyDescent="0.3">
      <c r="A229" s="2" t="s">
        <v>6</v>
      </c>
      <c r="B229" s="3">
        <v>33.772841999999997</v>
      </c>
      <c r="C229" s="3">
        <v>-84.630409999999998</v>
      </c>
      <c r="D229" s="1">
        <v>897</v>
      </c>
      <c r="E229" s="2" t="s">
        <v>111</v>
      </c>
      <c r="F229" s="1" t="s">
        <v>8</v>
      </c>
    </row>
    <row r="230" spans="1:6" x14ac:dyDescent="0.3">
      <c r="A230" s="1" t="s">
        <v>13</v>
      </c>
      <c r="B230" s="1">
        <v>33.787950000000002</v>
      </c>
      <c r="C230" s="1">
        <v>-84.617840000000001</v>
      </c>
      <c r="D230" s="1">
        <v>897</v>
      </c>
      <c r="E230" s="1" t="s">
        <v>111</v>
      </c>
      <c r="F230" s="1" t="s">
        <v>8</v>
      </c>
    </row>
    <row r="231" spans="1:6" x14ac:dyDescent="0.3">
      <c r="A231" s="1" t="s">
        <v>13</v>
      </c>
      <c r="B231" s="1">
        <v>33.77084</v>
      </c>
      <c r="C231" s="1">
        <v>-84.603290000000001</v>
      </c>
      <c r="D231" s="1">
        <v>897</v>
      </c>
      <c r="E231" s="1" t="s">
        <v>111</v>
      </c>
      <c r="F231" s="1" t="s">
        <v>8</v>
      </c>
    </row>
    <row r="232" spans="1:6" x14ac:dyDescent="0.3">
      <c r="A232" s="2" t="s">
        <v>120</v>
      </c>
      <c r="B232" s="3">
        <v>33.761681000000003</v>
      </c>
      <c r="C232" s="3">
        <v>-84.536516000000006</v>
      </c>
      <c r="D232" s="1">
        <v>897</v>
      </c>
      <c r="E232" s="2" t="s">
        <v>111</v>
      </c>
      <c r="F232" s="1" t="s">
        <v>8</v>
      </c>
    </row>
    <row r="233" spans="1:6" x14ac:dyDescent="0.3">
      <c r="A233" s="1" t="s">
        <v>13</v>
      </c>
      <c r="B233" s="1">
        <v>33.78172</v>
      </c>
      <c r="C233" s="1">
        <v>-84.536090000000002</v>
      </c>
      <c r="D233" s="1">
        <v>897</v>
      </c>
      <c r="E233" s="1" t="s">
        <v>111</v>
      </c>
      <c r="F233" s="1" t="s">
        <v>8</v>
      </c>
    </row>
    <row r="234" spans="1:6" x14ac:dyDescent="0.3">
      <c r="A234" s="1" t="s">
        <v>13</v>
      </c>
      <c r="B234" s="1">
        <v>33.799889999999998</v>
      </c>
      <c r="C234" s="1">
        <v>-84.513140000000007</v>
      </c>
      <c r="D234" s="1">
        <v>897</v>
      </c>
      <c r="E234" s="1" t="s">
        <v>111</v>
      </c>
      <c r="F234" s="1" t="s">
        <v>8</v>
      </c>
    </row>
    <row r="235" spans="1:6" x14ac:dyDescent="0.3">
      <c r="A235" s="2" t="s">
        <v>65</v>
      </c>
      <c r="B235" s="3">
        <v>33.702491000000002</v>
      </c>
      <c r="C235" s="3">
        <v>-84.168525000000002</v>
      </c>
      <c r="D235" s="1">
        <v>897</v>
      </c>
      <c r="E235" s="2" t="s">
        <v>111</v>
      </c>
      <c r="F235" s="1" t="s">
        <v>8</v>
      </c>
    </row>
    <row r="236" spans="1:6" x14ac:dyDescent="0.3">
      <c r="A236" s="2" t="s">
        <v>121</v>
      </c>
      <c r="B236" s="3">
        <v>33.699261</v>
      </c>
      <c r="C236" s="3">
        <v>-84.118612999999996</v>
      </c>
      <c r="D236" s="1">
        <v>897</v>
      </c>
      <c r="E236" s="2" t="s">
        <v>111</v>
      </c>
      <c r="F236" s="1" t="s">
        <v>8</v>
      </c>
    </row>
    <row r="237" spans="1:6" x14ac:dyDescent="0.3">
      <c r="A237" s="1" t="s">
        <v>13</v>
      </c>
      <c r="B237" s="1">
        <v>33.723379999999999</v>
      </c>
      <c r="C237" s="1">
        <v>-84.092200000000005</v>
      </c>
      <c r="D237" s="1">
        <v>897</v>
      </c>
      <c r="E237" s="1" t="s">
        <v>111</v>
      </c>
      <c r="F237" s="1" t="s">
        <v>8</v>
      </c>
    </row>
    <row r="238" spans="1:6" x14ac:dyDescent="0.3">
      <c r="A238" s="2" t="s">
        <v>122</v>
      </c>
      <c r="B238" s="3">
        <v>33.678488000000002</v>
      </c>
      <c r="C238" s="3">
        <v>-84.060590000000005</v>
      </c>
      <c r="D238" s="1">
        <v>897</v>
      </c>
      <c r="E238" s="2" t="s">
        <v>111</v>
      </c>
      <c r="F238" s="1" t="s">
        <v>8</v>
      </c>
    </row>
    <row r="239" spans="1:6" x14ac:dyDescent="0.3">
      <c r="A239" s="1" t="s">
        <v>13</v>
      </c>
      <c r="B239" s="1">
        <v>33.669710000000002</v>
      </c>
      <c r="C239" s="1">
        <v>-83.988140000000001</v>
      </c>
      <c r="D239" s="1">
        <v>897</v>
      </c>
      <c r="E239" s="1" t="s">
        <v>111</v>
      </c>
      <c r="F239" s="1" t="s">
        <v>8</v>
      </c>
    </row>
    <row r="240" spans="1:6" x14ac:dyDescent="0.3">
      <c r="A240" s="2" t="s">
        <v>65</v>
      </c>
      <c r="B240" s="3">
        <v>33.612268999999998</v>
      </c>
      <c r="C240" s="3">
        <v>-83.828783999999999</v>
      </c>
      <c r="D240" s="1">
        <v>897</v>
      </c>
      <c r="E240" s="2" t="s">
        <v>111</v>
      </c>
      <c r="F240" s="1" t="s">
        <v>8</v>
      </c>
    </row>
    <row r="241" spans="1:6" x14ac:dyDescent="0.3">
      <c r="A241" s="2" t="s">
        <v>21</v>
      </c>
      <c r="B241" s="3">
        <v>33.602528999999997</v>
      </c>
      <c r="C241" s="3">
        <v>-83.662497000000002</v>
      </c>
      <c r="D241" s="1">
        <v>897</v>
      </c>
      <c r="E241" s="2" t="s">
        <v>111</v>
      </c>
      <c r="F241" s="1" t="s">
        <v>8</v>
      </c>
    </row>
    <row r="242" spans="1:6" x14ac:dyDescent="0.3">
      <c r="A242" s="2" t="s">
        <v>21</v>
      </c>
      <c r="B242" s="3">
        <v>33.580410000000001</v>
      </c>
      <c r="C242" s="3">
        <v>-83.577353000000002</v>
      </c>
      <c r="D242" s="1">
        <v>897</v>
      </c>
      <c r="E242" s="2" t="s">
        <v>111</v>
      </c>
      <c r="F242" s="1" t="s">
        <v>8</v>
      </c>
    </row>
    <row r="243" spans="1:6" x14ac:dyDescent="0.3">
      <c r="A243" s="2" t="s">
        <v>11</v>
      </c>
      <c r="B243" s="3">
        <v>33.561185999999999</v>
      </c>
      <c r="C243" s="3">
        <v>-83.477880999999996</v>
      </c>
      <c r="D243" s="1">
        <v>777</v>
      </c>
      <c r="E243" s="2" t="s">
        <v>111</v>
      </c>
      <c r="F243" s="1" t="s">
        <v>8</v>
      </c>
    </row>
    <row r="244" spans="1:6" x14ac:dyDescent="0.3">
      <c r="A244" s="2" t="s">
        <v>123</v>
      </c>
      <c r="B244" s="3">
        <v>33.552810000000001</v>
      </c>
      <c r="C244" s="3">
        <v>-83.473758000000004</v>
      </c>
      <c r="D244" s="1">
        <v>777</v>
      </c>
      <c r="E244" s="2" t="s">
        <v>111</v>
      </c>
      <c r="F244" s="1" t="s">
        <v>8</v>
      </c>
    </row>
    <row r="245" spans="1:6" x14ac:dyDescent="0.3">
      <c r="A245" s="1" t="s">
        <v>13</v>
      </c>
      <c r="B245" s="1">
        <v>33.540979174337103</v>
      </c>
      <c r="C245" s="1">
        <v>-83.208587693384601</v>
      </c>
      <c r="D245" s="1">
        <v>777</v>
      </c>
      <c r="E245" s="1" t="s">
        <v>111</v>
      </c>
      <c r="F245" s="1" t="s">
        <v>8</v>
      </c>
    </row>
    <row r="246" spans="1:6" x14ac:dyDescent="0.3">
      <c r="A246" s="2" t="s">
        <v>124</v>
      </c>
      <c r="B246" s="3">
        <v>33.547348</v>
      </c>
      <c r="C246" s="3">
        <v>-83.078777000000002</v>
      </c>
      <c r="D246" s="1">
        <v>777</v>
      </c>
      <c r="E246" s="2" t="s">
        <v>111</v>
      </c>
      <c r="F246" s="1" t="s">
        <v>8</v>
      </c>
    </row>
    <row r="247" spans="1:6" x14ac:dyDescent="0.3">
      <c r="A247" s="2" t="s">
        <v>37</v>
      </c>
      <c r="B247" s="3">
        <v>33.514198999999998</v>
      </c>
      <c r="C247" s="3">
        <v>-82.502540999999994</v>
      </c>
      <c r="D247" s="1">
        <v>777</v>
      </c>
      <c r="E247" s="2" t="s">
        <v>111</v>
      </c>
      <c r="F247" s="1" t="s">
        <v>8</v>
      </c>
    </row>
    <row r="248" spans="1:6" x14ac:dyDescent="0.3">
      <c r="A248" s="2" t="s">
        <v>91</v>
      </c>
      <c r="B248" s="3">
        <v>33.509774999999998</v>
      </c>
      <c r="C248" s="3">
        <v>-82.502446000000006</v>
      </c>
      <c r="D248" s="1">
        <v>777</v>
      </c>
      <c r="E248" s="2" t="s">
        <v>111</v>
      </c>
      <c r="F248" s="1" t="s">
        <v>8</v>
      </c>
    </row>
    <row r="249" spans="1:6" x14ac:dyDescent="0.3">
      <c r="A249" s="2" t="s">
        <v>10</v>
      </c>
      <c r="B249" s="3">
        <v>33.504897</v>
      </c>
      <c r="C249" s="3">
        <v>-82.502382999999995</v>
      </c>
      <c r="D249" s="1">
        <v>777</v>
      </c>
      <c r="E249" s="2" t="s">
        <v>111</v>
      </c>
      <c r="F249" s="1" t="s">
        <v>8</v>
      </c>
    </row>
    <row r="250" spans="1:6" x14ac:dyDescent="0.3">
      <c r="A250" s="2" t="s">
        <v>16</v>
      </c>
      <c r="B250" s="3">
        <v>33.513171999999997</v>
      </c>
      <c r="C250" s="3">
        <v>-82.445374999999999</v>
      </c>
      <c r="D250" s="1">
        <v>777</v>
      </c>
      <c r="E250" s="2" t="s">
        <v>111</v>
      </c>
      <c r="F250" s="1" t="s">
        <v>8</v>
      </c>
    </row>
    <row r="251" spans="1:6" x14ac:dyDescent="0.3">
      <c r="A251" s="2" t="s">
        <v>21</v>
      </c>
      <c r="B251" s="3">
        <v>33.498156000000002</v>
      </c>
      <c r="C251" s="3">
        <v>-82.335887999999997</v>
      </c>
      <c r="D251" s="1">
        <v>777</v>
      </c>
      <c r="E251" s="2" t="s">
        <v>111</v>
      </c>
      <c r="F251" s="1" t="s">
        <v>8</v>
      </c>
    </row>
    <row r="252" spans="1:6" x14ac:dyDescent="0.3">
      <c r="A252" s="2" t="s">
        <v>21</v>
      </c>
      <c r="B252" s="3">
        <v>33.499775</v>
      </c>
      <c r="C252" s="3">
        <v>-82.327861999999996</v>
      </c>
      <c r="D252" s="1">
        <v>777</v>
      </c>
      <c r="E252" s="2" t="s">
        <v>111</v>
      </c>
      <c r="F252" s="1" t="s">
        <v>8</v>
      </c>
    </row>
    <row r="253" spans="1:6" x14ac:dyDescent="0.3">
      <c r="A253" s="2" t="s">
        <v>6</v>
      </c>
      <c r="B253" s="3">
        <v>33.487222000000003</v>
      </c>
      <c r="C253" s="3">
        <v>-82.237219999999994</v>
      </c>
      <c r="D253" s="1">
        <v>777</v>
      </c>
      <c r="E253" s="2" t="s">
        <v>111</v>
      </c>
      <c r="F253" s="1" t="s">
        <v>8</v>
      </c>
    </row>
    <row r="254" spans="1:6" x14ac:dyDescent="0.3">
      <c r="A254" s="2" t="s">
        <v>125</v>
      </c>
      <c r="B254" s="3">
        <v>33.485441999999999</v>
      </c>
      <c r="C254" s="3">
        <v>-82.200108999999998</v>
      </c>
      <c r="D254" s="1">
        <v>777</v>
      </c>
      <c r="E254" s="2" t="s">
        <v>111</v>
      </c>
      <c r="F254" s="1" t="s">
        <v>8</v>
      </c>
    </row>
    <row r="255" spans="1:6" x14ac:dyDescent="0.3">
      <c r="A255" s="2" t="s">
        <v>11</v>
      </c>
      <c r="B255" s="3">
        <v>33.480383000000003</v>
      </c>
      <c r="C255" s="3">
        <v>-82.130245000000002</v>
      </c>
      <c r="D255" s="1">
        <v>777</v>
      </c>
      <c r="E255" s="2" t="s">
        <v>111</v>
      </c>
      <c r="F255" s="1" t="s">
        <v>8</v>
      </c>
    </row>
    <row r="256" spans="1:6" x14ac:dyDescent="0.3">
      <c r="A256" s="2" t="s">
        <v>11</v>
      </c>
      <c r="B256" s="3">
        <v>33.522956999999998</v>
      </c>
      <c r="C256" s="3">
        <v>-82.034073000000006</v>
      </c>
      <c r="D256" s="1">
        <v>777</v>
      </c>
      <c r="E256" s="2" t="s">
        <v>111</v>
      </c>
      <c r="F256" s="1" t="s">
        <v>8</v>
      </c>
    </row>
    <row r="257" spans="1:6" x14ac:dyDescent="0.3">
      <c r="A257" s="2" t="s">
        <v>9</v>
      </c>
      <c r="B257" s="3">
        <v>33.527371000000002</v>
      </c>
      <c r="C257" s="3">
        <v>-82.023228000000003</v>
      </c>
      <c r="D257" s="1">
        <v>777</v>
      </c>
      <c r="E257" s="2" t="s">
        <v>111</v>
      </c>
      <c r="F257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A6C68-2E84-4F79-979F-02891C74DCF3}">
  <dimension ref="A1:F226"/>
  <sheetViews>
    <sheetView workbookViewId="0">
      <selection activeCell="D13" sqref="D13"/>
    </sheetView>
  </sheetViews>
  <sheetFormatPr defaultColWidth="11.44140625" defaultRowHeight="14.4" x14ac:dyDescent="0.3"/>
  <cols>
    <col min="1" max="1" width="19.33203125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2" t="s">
        <v>10</v>
      </c>
      <c r="B2" s="3">
        <v>32.194144999999999</v>
      </c>
      <c r="C2" s="3">
        <v>-81.195218999999994</v>
      </c>
      <c r="D2" s="1">
        <v>572</v>
      </c>
      <c r="E2" s="2" t="s">
        <v>7</v>
      </c>
      <c r="F2" s="1" t="s">
        <v>8</v>
      </c>
    </row>
    <row r="3" spans="1:6" x14ac:dyDescent="0.3">
      <c r="A3" s="2" t="s">
        <v>11</v>
      </c>
      <c r="B3" s="3">
        <v>32.188470000000002</v>
      </c>
      <c r="C3" s="3">
        <v>-81.193889999999996</v>
      </c>
      <c r="D3" s="1">
        <v>572</v>
      </c>
      <c r="E3" s="2" t="s">
        <v>7</v>
      </c>
      <c r="F3" s="1" t="s">
        <v>8</v>
      </c>
    </row>
    <row r="4" spans="1:6" x14ac:dyDescent="0.3">
      <c r="A4" s="2" t="s">
        <v>12</v>
      </c>
      <c r="B4" s="3">
        <v>32.107514999999999</v>
      </c>
      <c r="C4" s="3">
        <v>-81.229046999999994</v>
      </c>
      <c r="D4" s="1">
        <v>572</v>
      </c>
      <c r="E4" s="2" t="s">
        <v>7</v>
      </c>
      <c r="F4" s="1" t="s">
        <v>8</v>
      </c>
    </row>
    <row r="5" spans="1:6" x14ac:dyDescent="0.3">
      <c r="A5" s="1" t="s">
        <v>13</v>
      </c>
      <c r="B5" s="1">
        <v>32.09225</v>
      </c>
      <c r="C5" s="1">
        <v>-81.196349999999995</v>
      </c>
      <c r="D5" s="1">
        <v>572</v>
      </c>
      <c r="E5" s="1" t="s">
        <v>7</v>
      </c>
      <c r="F5" s="1" t="s">
        <v>8</v>
      </c>
    </row>
    <row r="6" spans="1:6" x14ac:dyDescent="0.3">
      <c r="A6" s="2" t="s">
        <v>14</v>
      </c>
      <c r="B6" s="3">
        <v>32.004966000000003</v>
      </c>
      <c r="C6" s="3">
        <v>-81.281952000000004</v>
      </c>
      <c r="D6" s="1">
        <v>572</v>
      </c>
      <c r="E6" s="2" t="s">
        <v>7</v>
      </c>
      <c r="F6" s="1" t="s">
        <v>8</v>
      </c>
    </row>
    <row r="7" spans="1:6" x14ac:dyDescent="0.3">
      <c r="A7" s="2" t="s">
        <v>15</v>
      </c>
      <c r="B7" s="3">
        <v>31.961281</v>
      </c>
      <c r="C7" s="3">
        <v>-81.330957999999995</v>
      </c>
      <c r="D7" s="1">
        <v>572</v>
      </c>
      <c r="E7" s="2" t="s">
        <v>7</v>
      </c>
      <c r="F7" s="1" t="s">
        <v>8</v>
      </c>
    </row>
    <row r="8" spans="1:6" x14ac:dyDescent="0.3">
      <c r="A8" s="2" t="s">
        <v>16</v>
      </c>
      <c r="B8" s="3">
        <v>31.937892000000002</v>
      </c>
      <c r="C8" s="3">
        <v>-81.308159000000003</v>
      </c>
      <c r="D8" s="1">
        <v>572</v>
      </c>
      <c r="E8" s="2" t="s">
        <v>7</v>
      </c>
      <c r="F8" s="1" t="s">
        <v>8</v>
      </c>
    </row>
    <row r="9" spans="1:6" x14ac:dyDescent="0.3">
      <c r="A9" s="2" t="s">
        <v>17</v>
      </c>
      <c r="B9" s="3">
        <v>31.926997</v>
      </c>
      <c r="C9" s="3">
        <v>-81.330799999999996</v>
      </c>
      <c r="D9" s="1">
        <v>572</v>
      </c>
      <c r="E9" s="2" t="s">
        <v>7</v>
      </c>
      <c r="F9" s="1" t="s">
        <v>8</v>
      </c>
    </row>
    <row r="10" spans="1:6" x14ac:dyDescent="0.3">
      <c r="A10" s="2" t="s">
        <v>18</v>
      </c>
      <c r="B10" s="3">
        <v>31.924689999999998</v>
      </c>
      <c r="C10" s="3">
        <v>-81.333551999999997</v>
      </c>
      <c r="D10" s="1">
        <v>572</v>
      </c>
      <c r="E10" s="2" t="s">
        <v>7</v>
      </c>
      <c r="F10" s="1" t="s">
        <v>8</v>
      </c>
    </row>
    <row r="11" spans="1:6" x14ac:dyDescent="0.3">
      <c r="A11" s="2" t="s">
        <v>19</v>
      </c>
      <c r="B11" s="3">
        <v>31.780294999999999</v>
      </c>
      <c r="C11" s="3">
        <v>-81.382587000000001</v>
      </c>
      <c r="D11" s="1">
        <v>572</v>
      </c>
      <c r="E11" s="2" t="s">
        <v>7</v>
      </c>
      <c r="F11" s="1" t="s">
        <v>8</v>
      </c>
    </row>
    <row r="12" spans="1:6" x14ac:dyDescent="0.3">
      <c r="A12" s="2" t="s">
        <v>20</v>
      </c>
      <c r="B12" s="3">
        <v>31.398484</v>
      </c>
      <c r="C12" s="3">
        <v>-81.450276000000002</v>
      </c>
      <c r="D12" s="1">
        <v>572</v>
      </c>
      <c r="E12" s="2" t="s">
        <v>7</v>
      </c>
      <c r="F12" s="1" t="s">
        <v>8</v>
      </c>
    </row>
    <row r="13" spans="1:6" x14ac:dyDescent="0.3">
      <c r="A13" s="1" t="s">
        <v>13</v>
      </c>
      <c r="B13" s="1">
        <v>31.231809999999999</v>
      </c>
      <c r="C13" s="1">
        <v>-81.498059999999995</v>
      </c>
      <c r="D13" s="1">
        <v>572</v>
      </c>
      <c r="E13" s="1" t="s">
        <v>7</v>
      </c>
      <c r="F13" s="1" t="s">
        <v>8</v>
      </c>
    </row>
    <row r="14" spans="1:6" x14ac:dyDescent="0.3">
      <c r="A14" s="1" t="s">
        <v>13</v>
      </c>
      <c r="B14" s="1">
        <v>31.219480000000001</v>
      </c>
      <c r="C14" s="1">
        <v>-81.518739999999994</v>
      </c>
      <c r="D14" s="1">
        <v>572</v>
      </c>
      <c r="E14" s="1" t="s">
        <v>7</v>
      </c>
      <c r="F14" s="1" t="s">
        <v>8</v>
      </c>
    </row>
    <row r="15" spans="1:6" x14ac:dyDescent="0.3">
      <c r="A15" s="2" t="s">
        <v>22</v>
      </c>
      <c r="B15" s="3">
        <v>31.139807999999999</v>
      </c>
      <c r="C15" s="3">
        <v>-81.579847999999998</v>
      </c>
      <c r="D15" s="1">
        <v>572</v>
      </c>
      <c r="E15" s="2" t="s">
        <v>7</v>
      </c>
      <c r="F15" s="1" t="s">
        <v>8</v>
      </c>
    </row>
    <row r="16" spans="1:6" x14ac:dyDescent="0.3">
      <c r="A16" s="2" t="s">
        <v>23</v>
      </c>
      <c r="B16" s="3">
        <v>31.138100000000001</v>
      </c>
      <c r="C16" s="3">
        <v>-81.579899999999995</v>
      </c>
      <c r="D16" s="1">
        <v>572</v>
      </c>
      <c r="E16" s="2" t="s">
        <v>7</v>
      </c>
      <c r="F16" s="1" t="s">
        <v>8</v>
      </c>
    </row>
    <row r="17" spans="1:6" x14ac:dyDescent="0.3">
      <c r="A17" s="2" t="s">
        <v>24</v>
      </c>
      <c r="B17" s="3">
        <v>31.136768</v>
      </c>
      <c r="C17" s="3">
        <v>-81.572261999999995</v>
      </c>
      <c r="D17" s="1">
        <v>572</v>
      </c>
      <c r="E17" s="2" t="s">
        <v>7</v>
      </c>
      <c r="F17" s="1" t="s">
        <v>8</v>
      </c>
    </row>
    <row r="18" spans="1:6" x14ac:dyDescent="0.3">
      <c r="A18" s="2" t="s">
        <v>25</v>
      </c>
      <c r="B18" s="3">
        <v>30.947358999999999</v>
      </c>
      <c r="C18" s="3">
        <v>-81.689486000000002</v>
      </c>
      <c r="D18" s="1">
        <v>572</v>
      </c>
      <c r="E18" s="2" t="s">
        <v>7</v>
      </c>
      <c r="F18" s="1" t="s">
        <v>8</v>
      </c>
    </row>
    <row r="19" spans="1:6" x14ac:dyDescent="0.3">
      <c r="A19" s="2" t="s">
        <v>26</v>
      </c>
      <c r="B19" s="3">
        <v>30.849391000000001</v>
      </c>
      <c r="C19" s="3">
        <v>-81.669031000000004</v>
      </c>
      <c r="D19" s="1">
        <v>572</v>
      </c>
      <c r="E19" s="2" t="s">
        <v>7</v>
      </c>
      <c r="F19" s="1" t="s">
        <v>8</v>
      </c>
    </row>
    <row r="20" spans="1:6" x14ac:dyDescent="0.3">
      <c r="A20" s="2" t="s">
        <v>27</v>
      </c>
      <c r="B20" s="3">
        <v>30.826476</v>
      </c>
      <c r="C20" s="3">
        <v>-81.661366000000001</v>
      </c>
      <c r="D20" s="1">
        <v>572</v>
      </c>
      <c r="E20" s="2" t="s">
        <v>7</v>
      </c>
      <c r="F20" s="1" t="s">
        <v>8</v>
      </c>
    </row>
    <row r="21" spans="1:6" x14ac:dyDescent="0.3">
      <c r="A21" s="2" t="s">
        <v>28</v>
      </c>
      <c r="B21" s="3">
        <v>30.823611</v>
      </c>
      <c r="C21" s="3">
        <v>-81.662653000000006</v>
      </c>
      <c r="D21" s="1">
        <v>572</v>
      </c>
      <c r="E21" s="2" t="s">
        <v>7</v>
      </c>
      <c r="F21" s="1" t="s">
        <v>8</v>
      </c>
    </row>
    <row r="22" spans="1:6" x14ac:dyDescent="0.3">
      <c r="A22" s="2" t="s">
        <v>29</v>
      </c>
      <c r="B22" s="3">
        <v>30.794566</v>
      </c>
      <c r="C22" s="3">
        <v>-81.666139999999999</v>
      </c>
      <c r="D22" s="1">
        <v>572</v>
      </c>
      <c r="E22" s="2" t="s">
        <v>7</v>
      </c>
      <c r="F22" s="1" t="s">
        <v>8</v>
      </c>
    </row>
    <row r="23" spans="1:6" x14ac:dyDescent="0.3">
      <c r="A23" s="2" t="s">
        <v>30</v>
      </c>
      <c r="B23" s="3">
        <v>30.789687000000001</v>
      </c>
      <c r="C23" s="3">
        <v>-81.655653999999998</v>
      </c>
      <c r="D23" s="1">
        <v>572</v>
      </c>
      <c r="E23" s="2" t="s">
        <v>7</v>
      </c>
      <c r="F23" s="1" t="s">
        <v>8</v>
      </c>
    </row>
    <row r="24" spans="1:6" x14ac:dyDescent="0.3">
      <c r="A24" s="1" t="s">
        <v>13</v>
      </c>
      <c r="B24" s="1">
        <v>30.77919</v>
      </c>
      <c r="C24" s="1">
        <v>-81.622380000000007</v>
      </c>
      <c r="D24" s="1">
        <v>572</v>
      </c>
      <c r="E24" s="1" t="s">
        <v>7</v>
      </c>
      <c r="F24" s="1" t="s">
        <v>8</v>
      </c>
    </row>
    <row r="25" spans="1:6" x14ac:dyDescent="0.3">
      <c r="A25" s="2" t="s">
        <v>31</v>
      </c>
      <c r="B25" s="3">
        <v>30.760902999999999</v>
      </c>
      <c r="C25" s="3">
        <v>-81.649146000000002</v>
      </c>
      <c r="D25" s="1">
        <v>572</v>
      </c>
      <c r="E25" s="2" t="s">
        <v>7</v>
      </c>
      <c r="F25" s="1" t="s">
        <v>8</v>
      </c>
    </row>
    <row r="26" spans="1:6" x14ac:dyDescent="0.3">
      <c r="A26" s="2" t="s">
        <v>32</v>
      </c>
      <c r="B26" s="3">
        <v>30.759326999999999</v>
      </c>
      <c r="C26" s="3">
        <v>-81.656290999999996</v>
      </c>
      <c r="D26" s="1">
        <v>572</v>
      </c>
      <c r="E26" s="2" t="s">
        <v>7</v>
      </c>
      <c r="F26" s="1" t="s">
        <v>8</v>
      </c>
    </row>
    <row r="27" spans="1:6" x14ac:dyDescent="0.3">
      <c r="A27" s="2" t="s">
        <v>33</v>
      </c>
      <c r="B27" s="3">
        <v>32.795715999999999</v>
      </c>
      <c r="C27" s="3">
        <v>-83.569445999999999</v>
      </c>
      <c r="D27" s="1">
        <v>472</v>
      </c>
      <c r="E27" s="2" t="s">
        <v>34</v>
      </c>
      <c r="F27" s="1" t="s">
        <v>8</v>
      </c>
    </row>
    <row r="28" spans="1:6" x14ac:dyDescent="0.3">
      <c r="A28" s="2" t="s">
        <v>35</v>
      </c>
      <c r="B28" s="3">
        <v>32.620404000000001</v>
      </c>
      <c r="C28" s="3">
        <v>-83.370823000000001</v>
      </c>
      <c r="D28" s="1">
        <v>472</v>
      </c>
      <c r="E28" s="2" t="s">
        <v>34</v>
      </c>
      <c r="F28" s="1" t="s">
        <v>8</v>
      </c>
    </row>
    <row r="29" spans="1:6" x14ac:dyDescent="0.3">
      <c r="A29" s="2" t="s">
        <v>36</v>
      </c>
      <c r="B29" s="3">
        <v>32.626064999999997</v>
      </c>
      <c r="C29" s="3">
        <v>-83.369846999999993</v>
      </c>
      <c r="D29" s="1">
        <v>472</v>
      </c>
      <c r="E29" s="2" t="s">
        <v>34</v>
      </c>
      <c r="F29" s="1" t="s">
        <v>8</v>
      </c>
    </row>
    <row r="30" spans="1:6" x14ac:dyDescent="0.3">
      <c r="A30" s="2" t="s">
        <v>37</v>
      </c>
      <c r="B30" s="3">
        <v>32.495341000000003</v>
      </c>
      <c r="C30" s="3">
        <v>-82.981005999999994</v>
      </c>
      <c r="D30" s="1">
        <v>472</v>
      </c>
      <c r="E30" s="2" t="s">
        <v>34</v>
      </c>
      <c r="F30" s="1" t="s">
        <v>8</v>
      </c>
    </row>
    <row r="31" spans="1:6" x14ac:dyDescent="0.3">
      <c r="A31" s="1" t="s">
        <v>13</v>
      </c>
      <c r="B31" s="1">
        <v>32.484335877252697</v>
      </c>
      <c r="C31" s="1">
        <v>-82.936004647322406</v>
      </c>
      <c r="D31" s="1">
        <v>472</v>
      </c>
      <c r="E31" s="1" t="s">
        <v>34</v>
      </c>
      <c r="F31" s="1" t="s">
        <v>8</v>
      </c>
    </row>
    <row r="32" spans="1:6" x14ac:dyDescent="0.3">
      <c r="A32" s="2" t="s">
        <v>11</v>
      </c>
      <c r="B32" s="3">
        <v>32.489961000000001</v>
      </c>
      <c r="C32" s="3">
        <v>-82.933501000000007</v>
      </c>
      <c r="D32" s="1">
        <v>472</v>
      </c>
      <c r="E32" s="2" t="s">
        <v>34</v>
      </c>
      <c r="F32" s="1" t="s">
        <v>8</v>
      </c>
    </row>
    <row r="33" spans="1:6" x14ac:dyDescent="0.3">
      <c r="A33" s="2" t="s">
        <v>38</v>
      </c>
      <c r="B33" s="3">
        <v>32.490583000000001</v>
      </c>
      <c r="C33" s="3">
        <v>-82.933188999999999</v>
      </c>
      <c r="D33" s="1">
        <v>472</v>
      </c>
      <c r="E33" s="2" t="s">
        <v>34</v>
      </c>
      <c r="F33" s="1" t="s">
        <v>8</v>
      </c>
    </row>
    <row r="34" spans="1:6" x14ac:dyDescent="0.3">
      <c r="A34" s="2" t="s">
        <v>39</v>
      </c>
      <c r="B34" s="3">
        <v>32.493774000000002</v>
      </c>
      <c r="C34" s="3">
        <v>-82.930344000000005</v>
      </c>
      <c r="D34" s="1">
        <v>472</v>
      </c>
      <c r="E34" s="2" t="s">
        <v>34</v>
      </c>
      <c r="F34" s="1" t="s">
        <v>8</v>
      </c>
    </row>
    <row r="35" spans="1:6" x14ac:dyDescent="0.3">
      <c r="A35" s="2" t="s">
        <v>40</v>
      </c>
      <c r="B35" s="3">
        <v>32.542369000000001</v>
      </c>
      <c r="C35" s="3">
        <v>-82.897754000000006</v>
      </c>
      <c r="D35" s="1">
        <v>472</v>
      </c>
      <c r="E35" s="2" t="s">
        <v>34</v>
      </c>
      <c r="F35" s="1" t="s">
        <v>8</v>
      </c>
    </row>
    <row r="36" spans="1:6" x14ac:dyDescent="0.3">
      <c r="A36" s="2" t="s">
        <v>41</v>
      </c>
      <c r="B36" s="3">
        <v>32.482776999999999</v>
      </c>
      <c r="C36" s="3">
        <v>-82.896039999999999</v>
      </c>
      <c r="D36" s="1">
        <v>472</v>
      </c>
      <c r="E36" s="2" t="s">
        <v>34</v>
      </c>
      <c r="F36" s="1" t="s">
        <v>8</v>
      </c>
    </row>
    <row r="37" spans="1:6" x14ac:dyDescent="0.3">
      <c r="A37" s="2" t="s">
        <v>42</v>
      </c>
      <c r="B37" s="3">
        <v>32.403638000000001</v>
      </c>
      <c r="C37" s="3">
        <v>-82.304924</v>
      </c>
      <c r="D37" s="1">
        <v>472</v>
      </c>
      <c r="E37" s="2" t="s">
        <v>34</v>
      </c>
      <c r="F37" s="1" t="s">
        <v>8</v>
      </c>
    </row>
    <row r="38" spans="1:6" x14ac:dyDescent="0.3">
      <c r="A38" s="2" t="s">
        <v>43</v>
      </c>
      <c r="B38" s="3">
        <v>32.371406999999998</v>
      </c>
      <c r="C38" s="3">
        <v>-82.165028000000007</v>
      </c>
      <c r="D38" s="1">
        <v>472</v>
      </c>
      <c r="E38" s="2" t="s">
        <v>34</v>
      </c>
      <c r="F38" s="1" t="s">
        <v>8</v>
      </c>
    </row>
    <row r="39" spans="1:6" x14ac:dyDescent="0.3">
      <c r="A39" s="1" t="s">
        <v>13</v>
      </c>
      <c r="B39" s="1">
        <v>32.373220000000003</v>
      </c>
      <c r="C39" s="1">
        <v>-82.072730000000007</v>
      </c>
      <c r="D39" s="1">
        <v>472</v>
      </c>
      <c r="E39" s="1" t="s">
        <v>34</v>
      </c>
      <c r="F39" s="1" t="s">
        <v>8</v>
      </c>
    </row>
    <row r="40" spans="1:6" x14ac:dyDescent="0.3">
      <c r="A40" s="2" t="s">
        <v>44</v>
      </c>
      <c r="B40" s="3">
        <v>32.379325000000001</v>
      </c>
      <c r="C40" s="3">
        <v>-82.061931000000001</v>
      </c>
      <c r="D40" s="1">
        <v>472</v>
      </c>
      <c r="E40" s="2" t="s">
        <v>34</v>
      </c>
      <c r="F40" s="1" t="s">
        <v>8</v>
      </c>
    </row>
    <row r="41" spans="1:6" x14ac:dyDescent="0.3">
      <c r="A41" s="2" t="s">
        <v>45</v>
      </c>
      <c r="B41" s="3">
        <v>32.33587</v>
      </c>
      <c r="C41" s="3">
        <v>-81.952149000000006</v>
      </c>
      <c r="D41" s="1">
        <v>472</v>
      </c>
      <c r="E41" s="2" t="s">
        <v>34</v>
      </c>
      <c r="F41" s="1" t="s">
        <v>8</v>
      </c>
    </row>
    <row r="42" spans="1:6" x14ac:dyDescent="0.3">
      <c r="A42" s="2" t="s">
        <v>46</v>
      </c>
      <c r="B42" s="3">
        <v>32.312271000000003</v>
      </c>
      <c r="C42" s="3">
        <v>-81.875567000000004</v>
      </c>
      <c r="D42" s="1">
        <v>472</v>
      </c>
      <c r="E42" s="2" t="s">
        <v>34</v>
      </c>
      <c r="F42" s="1" t="s">
        <v>8</v>
      </c>
    </row>
    <row r="43" spans="1:6" x14ac:dyDescent="0.3">
      <c r="A43" s="2" t="s">
        <v>47</v>
      </c>
      <c r="B43" s="3">
        <v>32.302835000000002</v>
      </c>
      <c r="C43" s="3">
        <v>-81.873427000000007</v>
      </c>
      <c r="D43" s="1">
        <v>472</v>
      </c>
      <c r="E43" s="2" t="s">
        <v>34</v>
      </c>
      <c r="F43" s="1" t="s">
        <v>8</v>
      </c>
    </row>
    <row r="44" spans="1:6" x14ac:dyDescent="0.3">
      <c r="A44" s="2" t="s">
        <v>48</v>
      </c>
      <c r="B44" s="3">
        <v>32.417029999999997</v>
      </c>
      <c r="C44" s="3">
        <v>-81.798899000000006</v>
      </c>
      <c r="D44" s="1">
        <v>472</v>
      </c>
      <c r="E44" s="2" t="s">
        <v>34</v>
      </c>
      <c r="F44" s="1" t="s">
        <v>8</v>
      </c>
    </row>
    <row r="45" spans="1:6" x14ac:dyDescent="0.3">
      <c r="A45" s="2" t="s">
        <v>11</v>
      </c>
      <c r="B45" s="3">
        <v>32.072355000000002</v>
      </c>
      <c r="C45" s="3">
        <v>-81.200294</v>
      </c>
      <c r="D45" s="1">
        <v>472</v>
      </c>
      <c r="E45" s="2" t="s">
        <v>34</v>
      </c>
      <c r="F45" s="1" t="s">
        <v>8</v>
      </c>
    </row>
    <row r="46" spans="1:6" x14ac:dyDescent="0.3">
      <c r="A46" s="2" t="s">
        <v>16</v>
      </c>
      <c r="B46" s="3">
        <v>34.927864999999997</v>
      </c>
      <c r="C46" s="3">
        <v>-85.150728999999998</v>
      </c>
      <c r="D46" s="1">
        <v>607</v>
      </c>
      <c r="E46" s="2" t="s">
        <v>49</v>
      </c>
      <c r="F46" s="1" t="s">
        <v>8</v>
      </c>
    </row>
    <row r="47" spans="1:6" x14ac:dyDescent="0.3">
      <c r="A47" s="1" t="s">
        <v>13</v>
      </c>
      <c r="B47" s="1">
        <v>34.927729999999997</v>
      </c>
      <c r="C47" s="1">
        <v>-85.154750000000007</v>
      </c>
      <c r="D47" s="1">
        <v>607</v>
      </c>
      <c r="E47" s="1" t="s">
        <v>49</v>
      </c>
      <c r="F47" s="1" t="s">
        <v>8</v>
      </c>
    </row>
    <row r="48" spans="1:6" x14ac:dyDescent="0.3">
      <c r="A48" s="2" t="s">
        <v>50</v>
      </c>
      <c r="B48" s="3">
        <v>34.913300999999997</v>
      </c>
      <c r="C48" s="3">
        <v>-85.123749000000004</v>
      </c>
      <c r="D48" s="1">
        <v>607</v>
      </c>
      <c r="E48" s="2" t="s">
        <v>49</v>
      </c>
      <c r="F48" s="1" t="s">
        <v>8</v>
      </c>
    </row>
    <row r="49" spans="1:6" x14ac:dyDescent="0.3">
      <c r="A49" s="2" t="s">
        <v>51</v>
      </c>
      <c r="B49" s="3">
        <v>34.889825000000002</v>
      </c>
      <c r="C49" s="3">
        <v>-85.073205999999999</v>
      </c>
      <c r="D49" s="1">
        <v>607</v>
      </c>
      <c r="E49" s="2" t="s">
        <v>49</v>
      </c>
      <c r="F49" s="1" t="s">
        <v>8</v>
      </c>
    </row>
    <row r="50" spans="1:6" x14ac:dyDescent="0.3">
      <c r="A50" s="2" t="s">
        <v>52</v>
      </c>
      <c r="B50" s="3">
        <v>34.889296000000002</v>
      </c>
      <c r="C50" s="3">
        <v>-85.072974000000002</v>
      </c>
      <c r="D50" s="1">
        <v>607</v>
      </c>
      <c r="E50" s="2" t="s">
        <v>49</v>
      </c>
      <c r="F50" s="1" t="s">
        <v>8</v>
      </c>
    </row>
    <row r="51" spans="1:6" x14ac:dyDescent="0.3">
      <c r="A51" s="2" t="s">
        <v>53</v>
      </c>
      <c r="B51" s="3">
        <v>34.889000000000003</v>
      </c>
      <c r="C51" s="3">
        <v>-85.072962000000004</v>
      </c>
      <c r="D51" s="1">
        <v>607</v>
      </c>
      <c r="E51" s="2" t="s">
        <v>49</v>
      </c>
      <c r="F51" s="1" t="s">
        <v>8</v>
      </c>
    </row>
    <row r="52" spans="1:6" x14ac:dyDescent="0.3">
      <c r="A52" s="1" t="s">
        <v>13</v>
      </c>
      <c r="B52" s="1">
        <v>34.795189999999998</v>
      </c>
      <c r="C52" s="1">
        <v>-84.995549999999994</v>
      </c>
      <c r="D52" s="1">
        <v>607</v>
      </c>
      <c r="E52" s="1" t="s">
        <v>49</v>
      </c>
      <c r="F52" s="1" t="s">
        <v>8</v>
      </c>
    </row>
    <row r="53" spans="1:6" x14ac:dyDescent="0.3">
      <c r="A53" s="1" t="s">
        <v>13</v>
      </c>
      <c r="B53" s="1">
        <v>34.759929999999997</v>
      </c>
      <c r="C53" s="1">
        <v>-84.996780000000001</v>
      </c>
      <c r="D53" s="1">
        <v>607</v>
      </c>
      <c r="E53" s="1" t="s">
        <v>49</v>
      </c>
      <c r="F53" s="1" t="s">
        <v>8</v>
      </c>
    </row>
    <row r="54" spans="1:6" x14ac:dyDescent="0.3">
      <c r="A54" s="2" t="s">
        <v>11</v>
      </c>
      <c r="B54" s="3">
        <v>34.688105999999998</v>
      </c>
      <c r="C54" s="3">
        <v>-85.000366</v>
      </c>
      <c r="D54" s="1">
        <v>607</v>
      </c>
      <c r="E54" s="2" t="s">
        <v>49</v>
      </c>
      <c r="F54" s="1" t="s">
        <v>8</v>
      </c>
    </row>
    <row r="55" spans="1:6" x14ac:dyDescent="0.3">
      <c r="A55" s="2" t="s">
        <v>11</v>
      </c>
      <c r="B55" s="3">
        <v>34.654814000000002</v>
      </c>
      <c r="C55" s="3">
        <v>-84.980238</v>
      </c>
      <c r="D55" s="1">
        <v>607</v>
      </c>
      <c r="E55" s="2" t="s">
        <v>49</v>
      </c>
      <c r="F55" s="1" t="s">
        <v>8</v>
      </c>
    </row>
    <row r="56" spans="1:6" x14ac:dyDescent="0.3">
      <c r="A56" s="2" t="s">
        <v>54</v>
      </c>
      <c r="B56" s="3">
        <v>34.653936000000002</v>
      </c>
      <c r="C56" s="3">
        <v>-84.982686000000001</v>
      </c>
      <c r="D56" s="1">
        <v>607</v>
      </c>
      <c r="E56" s="2" t="s">
        <v>49</v>
      </c>
      <c r="F56" s="1" t="s">
        <v>8</v>
      </c>
    </row>
    <row r="57" spans="1:6" x14ac:dyDescent="0.3">
      <c r="A57" s="2" t="s">
        <v>55</v>
      </c>
      <c r="B57" s="3">
        <v>34.577509999999997</v>
      </c>
      <c r="C57" s="3">
        <v>-84.947603999999998</v>
      </c>
      <c r="D57" s="1">
        <v>607</v>
      </c>
      <c r="E57" s="2" t="s">
        <v>49</v>
      </c>
      <c r="F57" s="1" t="s">
        <v>8</v>
      </c>
    </row>
    <row r="58" spans="1:6" x14ac:dyDescent="0.3">
      <c r="A58" s="2" t="s">
        <v>56</v>
      </c>
      <c r="B58" s="3">
        <v>34.558875999999998</v>
      </c>
      <c r="C58" s="3">
        <v>-84.936503000000002</v>
      </c>
      <c r="D58" s="1">
        <v>607</v>
      </c>
      <c r="E58" s="2" t="s">
        <v>49</v>
      </c>
      <c r="F58" s="1" t="s">
        <v>8</v>
      </c>
    </row>
    <row r="59" spans="1:6" x14ac:dyDescent="0.3">
      <c r="A59" s="1" t="s">
        <v>13</v>
      </c>
      <c r="B59" s="1">
        <v>34.47296</v>
      </c>
      <c r="C59" s="1">
        <v>-84.924059999999997</v>
      </c>
      <c r="D59" s="1">
        <v>607</v>
      </c>
      <c r="E59" s="1" t="s">
        <v>49</v>
      </c>
      <c r="F59" s="1" t="s">
        <v>8</v>
      </c>
    </row>
    <row r="60" spans="1:6" x14ac:dyDescent="0.3">
      <c r="A60" s="2" t="s">
        <v>57</v>
      </c>
      <c r="B60" s="3">
        <v>34.379491000000002</v>
      </c>
      <c r="C60" s="3">
        <v>-84.907397000000003</v>
      </c>
      <c r="D60" s="1">
        <v>607</v>
      </c>
      <c r="E60" s="2" t="s">
        <v>49</v>
      </c>
      <c r="F60" s="1" t="s">
        <v>8</v>
      </c>
    </row>
    <row r="61" spans="1:6" x14ac:dyDescent="0.3">
      <c r="A61" s="1" t="s">
        <v>13</v>
      </c>
      <c r="B61" s="1">
        <v>34.376249999999999</v>
      </c>
      <c r="C61" s="1">
        <v>-84.91574</v>
      </c>
      <c r="D61" s="1">
        <v>607</v>
      </c>
      <c r="E61" s="1" t="s">
        <v>49</v>
      </c>
      <c r="F61" s="1" t="s">
        <v>8</v>
      </c>
    </row>
    <row r="62" spans="1:6" x14ac:dyDescent="0.3">
      <c r="A62" s="2" t="s">
        <v>11</v>
      </c>
      <c r="B62" s="3">
        <v>34.273180000000004</v>
      </c>
      <c r="C62" s="3">
        <v>-84.807694999999995</v>
      </c>
      <c r="D62" s="1">
        <v>607</v>
      </c>
      <c r="E62" s="2" t="s">
        <v>49</v>
      </c>
      <c r="F62" s="1" t="s">
        <v>8</v>
      </c>
    </row>
    <row r="63" spans="1:6" x14ac:dyDescent="0.3">
      <c r="A63" s="2" t="s">
        <v>58</v>
      </c>
      <c r="B63" s="3">
        <v>34.273180000000004</v>
      </c>
      <c r="C63" s="3">
        <v>-84.807575999999997</v>
      </c>
      <c r="D63" s="1">
        <v>607</v>
      </c>
      <c r="E63" s="2" t="s">
        <v>49</v>
      </c>
      <c r="F63" s="1" t="s">
        <v>8</v>
      </c>
    </row>
    <row r="64" spans="1:6" x14ac:dyDescent="0.3">
      <c r="A64" s="2" t="s">
        <v>59</v>
      </c>
      <c r="B64" s="3">
        <v>34.241416999999998</v>
      </c>
      <c r="C64" s="3">
        <v>-84.775204000000002</v>
      </c>
      <c r="D64" s="1">
        <v>607</v>
      </c>
      <c r="E64" s="2" t="s">
        <v>49</v>
      </c>
      <c r="F64" s="1" t="s">
        <v>8</v>
      </c>
    </row>
    <row r="65" spans="1:6" x14ac:dyDescent="0.3">
      <c r="A65" s="2" t="s">
        <v>60</v>
      </c>
      <c r="B65" s="3">
        <v>34.208803000000003</v>
      </c>
      <c r="C65" s="3">
        <v>-84.759434999999996</v>
      </c>
      <c r="D65" s="1">
        <v>607</v>
      </c>
      <c r="E65" s="2" t="s">
        <v>49</v>
      </c>
      <c r="F65" s="1" t="s">
        <v>8</v>
      </c>
    </row>
    <row r="66" spans="1:6" x14ac:dyDescent="0.3">
      <c r="A66" s="1" t="s">
        <v>13</v>
      </c>
      <c r="B66" s="1">
        <v>34.174030000000002</v>
      </c>
      <c r="C66" s="1">
        <v>-84.764489999999995</v>
      </c>
      <c r="D66" s="1">
        <v>607</v>
      </c>
      <c r="E66" s="1" t="s">
        <v>49</v>
      </c>
      <c r="F66" s="1" t="s">
        <v>8</v>
      </c>
    </row>
    <row r="67" spans="1:6" x14ac:dyDescent="0.3">
      <c r="A67" s="2" t="s">
        <v>60</v>
      </c>
      <c r="B67" s="3">
        <v>34.173403</v>
      </c>
      <c r="C67" s="3">
        <v>-84.764218999999997</v>
      </c>
      <c r="D67" s="1">
        <v>607</v>
      </c>
      <c r="E67" s="2" t="s">
        <v>49</v>
      </c>
      <c r="F67" s="1" t="s">
        <v>8</v>
      </c>
    </row>
    <row r="68" spans="1:6" x14ac:dyDescent="0.3">
      <c r="A68" s="1" t="s">
        <v>13</v>
      </c>
      <c r="B68" s="1">
        <v>34.1417</v>
      </c>
      <c r="C68" s="1">
        <v>-84.743960000000001</v>
      </c>
      <c r="D68" s="1">
        <v>607</v>
      </c>
      <c r="E68" s="1" t="s">
        <v>49</v>
      </c>
      <c r="F68" s="1" t="s">
        <v>8</v>
      </c>
    </row>
    <row r="69" spans="1:6" x14ac:dyDescent="0.3">
      <c r="A69" s="2" t="s">
        <v>61</v>
      </c>
      <c r="B69" s="3">
        <v>34.119905000000003</v>
      </c>
      <c r="C69" s="3">
        <v>-84.742698000000004</v>
      </c>
      <c r="D69" s="1">
        <v>607</v>
      </c>
      <c r="E69" s="2" t="s">
        <v>49</v>
      </c>
      <c r="F69" s="1" t="s">
        <v>8</v>
      </c>
    </row>
    <row r="70" spans="1:6" x14ac:dyDescent="0.3">
      <c r="A70" s="1" t="s">
        <v>13</v>
      </c>
      <c r="B70" s="1">
        <v>34.084299999999999</v>
      </c>
      <c r="C70" s="1">
        <v>-84.554429999999996</v>
      </c>
      <c r="D70" s="1">
        <v>607</v>
      </c>
      <c r="E70" s="1" t="s">
        <v>49</v>
      </c>
      <c r="F70" s="1" t="s">
        <v>8</v>
      </c>
    </row>
    <row r="71" spans="1:6" x14ac:dyDescent="0.3">
      <c r="A71" s="1" t="s">
        <v>13</v>
      </c>
      <c r="B71" s="1">
        <v>34.082650000000001</v>
      </c>
      <c r="C71" s="1">
        <v>-84.6554</v>
      </c>
      <c r="D71" s="1">
        <v>607</v>
      </c>
      <c r="E71" s="1" t="s">
        <v>49</v>
      </c>
      <c r="F71" s="1" t="s">
        <v>8</v>
      </c>
    </row>
    <row r="72" spans="1:6" x14ac:dyDescent="0.3">
      <c r="A72" s="1" t="s">
        <v>13</v>
      </c>
      <c r="B72" s="1">
        <v>34.074260000000002</v>
      </c>
      <c r="C72" s="1">
        <v>-84.677430000000001</v>
      </c>
      <c r="D72" s="1">
        <v>607</v>
      </c>
      <c r="E72" s="1" t="s">
        <v>49</v>
      </c>
      <c r="F72" s="1" t="s">
        <v>8</v>
      </c>
    </row>
    <row r="73" spans="1:6" x14ac:dyDescent="0.3">
      <c r="A73" s="1" t="s">
        <v>13</v>
      </c>
      <c r="B73" s="1">
        <v>34.05903</v>
      </c>
      <c r="C73" s="1">
        <v>-84.591939999999994</v>
      </c>
      <c r="D73" s="1">
        <v>607</v>
      </c>
      <c r="E73" s="1" t="s">
        <v>49</v>
      </c>
      <c r="F73" s="1" t="s">
        <v>8</v>
      </c>
    </row>
    <row r="74" spans="1:6" x14ac:dyDescent="0.3">
      <c r="A74" s="1" t="s">
        <v>13</v>
      </c>
      <c r="B74" s="1">
        <v>34.057169999999999</v>
      </c>
      <c r="C74" s="1">
        <v>-84.558120000000002</v>
      </c>
      <c r="D74" s="1">
        <v>607</v>
      </c>
      <c r="E74" s="1" t="s">
        <v>49</v>
      </c>
      <c r="F74" s="1" t="s">
        <v>8</v>
      </c>
    </row>
    <row r="75" spans="1:6" x14ac:dyDescent="0.3">
      <c r="A75" s="1" t="s">
        <v>13</v>
      </c>
      <c r="B75" s="1">
        <v>34.007620000000003</v>
      </c>
      <c r="C75" s="1">
        <v>-84.527739999999994</v>
      </c>
      <c r="D75" s="1">
        <v>607</v>
      </c>
      <c r="E75" s="1" t="s">
        <v>49</v>
      </c>
      <c r="F75" s="1" t="s">
        <v>8</v>
      </c>
    </row>
    <row r="76" spans="1:6" x14ac:dyDescent="0.3">
      <c r="A76" s="1" t="s">
        <v>13</v>
      </c>
      <c r="B76" s="1">
        <v>33.99297</v>
      </c>
      <c r="C76" s="1">
        <v>-84.597809999999996</v>
      </c>
      <c r="D76" s="1">
        <v>607</v>
      </c>
      <c r="E76" s="1" t="s">
        <v>49</v>
      </c>
      <c r="F76" s="1" t="s">
        <v>8</v>
      </c>
    </row>
    <row r="77" spans="1:6" x14ac:dyDescent="0.3">
      <c r="A77" s="1" t="s">
        <v>13</v>
      </c>
      <c r="B77" s="1">
        <v>33.979779999999998</v>
      </c>
      <c r="C77" s="1">
        <v>-84.461979999999997</v>
      </c>
      <c r="D77" s="1">
        <v>607</v>
      </c>
      <c r="E77" s="1" t="s">
        <v>49</v>
      </c>
      <c r="F77" s="1" t="s">
        <v>8</v>
      </c>
    </row>
    <row r="78" spans="1:6" x14ac:dyDescent="0.3">
      <c r="A78" s="1" t="s">
        <v>13</v>
      </c>
      <c r="B78" s="1">
        <v>33.972479999999997</v>
      </c>
      <c r="C78" s="1">
        <v>-84.550460000000001</v>
      </c>
      <c r="D78" s="1">
        <v>607</v>
      </c>
      <c r="E78" s="1" t="s">
        <v>49</v>
      </c>
      <c r="F78" s="1" t="s">
        <v>8</v>
      </c>
    </row>
    <row r="79" spans="1:6" x14ac:dyDescent="0.3">
      <c r="A79" s="1" t="s">
        <v>13</v>
      </c>
      <c r="B79" s="1">
        <v>33.936140000000002</v>
      </c>
      <c r="C79" s="1">
        <v>-84.554990000000004</v>
      </c>
      <c r="D79" s="1">
        <v>607</v>
      </c>
      <c r="E79" s="1" t="s">
        <v>49</v>
      </c>
      <c r="F79" s="1" t="s">
        <v>8</v>
      </c>
    </row>
    <row r="80" spans="1:6" x14ac:dyDescent="0.3">
      <c r="A80" s="1" t="s">
        <v>13</v>
      </c>
      <c r="B80" s="1">
        <v>33.921849999999999</v>
      </c>
      <c r="C80" s="1">
        <v>-84.481449999999995</v>
      </c>
      <c r="D80" s="1">
        <v>607</v>
      </c>
      <c r="E80" s="1" t="s">
        <v>49</v>
      </c>
      <c r="F80" s="1" t="s">
        <v>8</v>
      </c>
    </row>
    <row r="81" spans="1:6" x14ac:dyDescent="0.3">
      <c r="A81" s="1" t="s">
        <v>13</v>
      </c>
      <c r="B81" s="1">
        <v>33.895699999999998</v>
      </c>
      <c r="C81" s="1">
        <v>-84.575050000000005</v>
      </c>
      <c r="D81" s="1">
        <v>607</v>
      </c>
      <c r="E81" s="1" t="s">
        <v>49</v>
      </c>
      <c r="F81" s="1" t="s">
        <v>8</v>
      </c>
    </row>
    <row r="82" spans="1:6" x14ac:dyDescent="0.3">
      <c r="A82" s="1" t="s">
        <v>13</v>
      </c>
      <c r="B82" s="1">
        <v>33.882660000000001</v>
      </c>
      <c r="C82" s="1">
        <v>-84.479849999999999</v>
      </c>
      <c r="D82" s="1">
        <v>607</v>
      </c>
      <c r="E82" s="1" t="s">
        <v>49</v>
      </c>
      <c r="F82" s="1" t="s">
        <v>8</v>
      </c>
    </row>
    <row r="83" spans="1:6" x14ac:dyDescent="0.3">
      <c r="A83" s="1" t="s">
        <v>13</v>
      </c>
      <c r="B83" s="1">
        <v>33.820639999999997</v>
      </c>
      <c r="C83" s="1">
        <v>-84.455179999999999</v>
      </c>
      <c r="D83" s="1">
        <v>1329</v>
      </c>
      <c r="E83" s="1" t="s">
        <v>49</v>
      </c>
      <c r="F83" s="1" t="s">
        <v>8</v>
      </c>
    </row>
    <row r="84" spans="1:6" x14ac:dyDescent="0.3">
      <c r="A84" s="2" t="s">
        <v>62</v>
      </c>
      <c r="B84" s="3">
        <v>33.624442000000002</v>
      </c>
      <c r="C84" s="3">
        <v>-84.407866999999996</v>
      </c>
      <c r="D84" s="1">
        <v>1329</v>
      </c>
      <c r="E84" s="2" t="s">
        <v>49</v>
      </c>
      <c r="F84" s="1" t="s">
        <v>8</v>
      </c>
    </row>
    <row r="85" spans="1:6" x14ac:dyDescent="0.3">
      <c r="A85" s="1" t="s">
        <v>13</v>
      </c>
      <c r="B85" s="1">
        <v>33.620339999999999</v>
      </c>
      <c r="C85" s="1">
        <v>-84.384510000000006</v>
      </c>
      <c r="D85" s="1">
        <v>1329</v>
      </c>
      <c r="E85" s="1" t="s">
        <v>49</v>
      </c>
      <c r="F85" s="1" t="s">
        <v>8</v>
      </c>
    </row>
    <row r="86" spans="1:6" x14ac:dyDescent="0.3">
      <c r="A86" s="2" t="s">
        <v>63</v>
      </c>
      <c r="B86" s="3">
        <v>33.620024000000001</v>
      </c>
      <c r="C86" s="3">
        <v>-84.383461999999994</v>
      </c>
      <c r="D86" s="1">
        <v>1329</v>
      </c>
      <c r="E86" s="2" t="s">
        <v>49</v>
      </c>
      <c r="F86" s="1" t="s">
        <v>8</v>
      </c>
    </row>
    <row r="87" spans="1:6" x14ac:dyDescent="0.3">
      <c r="A87" s="2" t="s">
        <v>64</v>
      </c>
      <c r="B87" s="3">
        <v>33.581868999999998</v>
      </c>
      <c r="C87" s="3">
        <v>-84.377570000000006</v>
      </c>
      <c r="D87" s="1">
        <v>1329</v>
      </c>
      <c r="E87" s="2" t="s">
        <v>49</v>
      </c>
      <c r="F87" s="1" t="s">
        <v>8</v>
      </c>
    </row>
    <row r="88" spans="1:6" x14ac:dyDescent="0.3">
      <c r="A88" s="2" t="s">
        <v>65</v>
      </c>
      <c r="B88" s="3">
        <v>33.553555000000003</v>
      </c>
      <c r="C88" s="3">
        <v>-84.256810999999999</v>
      </c>
      <c r="D88" s="1">
        <v>1329</v>
      </c>
      <c r="E88" s="2" t="s">
        <v>49</v>
      </c>
      <c r="F88" s="1" t="s">
        <v>8</v>
      </c>
    </row>
    <row r="89" spans="1:6" x14ac:dyDescent="0.3">
      <c r="A89" s="1" t="s">
        <v>13</v>
      </c>
      <c r="B89" s="1">
        <v>33.48366</v>
      </c>
      <c r="C89" s="1">
        <v>-84.211749999999995</v>
      </c>
      <c r="D89" s="1">
        <v>1329</v>
      </c>
      <c r="E89" s="1" t="s">
        <v>49</v>
      </c>
      <c r="F89" s="1" t="s">
        <v>8</v>
      </c>
    </row>
    <row r="90" spans="1:6" x14ac:dyDescent="0.3">
      <c r="A90" s="2" t="s">
        <v>66</v>
      </c>
      <c r="B90" s="3">
        <v>33.461690599999997</v>
      </c>
      <c r="C90" s="3">
        <v>-84.2073082</v>
      </c>
      <c r="D90" s="1">
        <v>1329</v>
      </c>
      <c r="E90" s="2" t="s">
        <v>49</v>
      </c>
      <c r="F90" s="1" t="s">
        <v>8</v>
      </c>
    </row>
    <row r="91" spans="1:6" x14ac:dyDescent="0.3">
      <c r="A91" s="1" t="s">
        <v>13</v>
      </c>
      <c r="B91" s="1">
        <v>33.460279999999997</v>
      </c>
      <c r="C91" s="1">
        <v>-84.195989999999995</v>
      </c>
      <c r="D91" s="1">
        <v>1329</v>
      </c>
      <c r="E91" s="1" t="s">
        <v>49</v>
      </c>
      <c r="F91" s="1" t="s">
        <v>8</v>
      </c>
    </row>
    <row r="92" spans="1:6" x14ac:dyDescent="0.3">
      <c r="A92" s="1" t="s">
        <v>13</v>
      </c>
      <c r="B92" s="1">
        <v>33.430390000000003</v>
      </c>
      <c r="C92" s="1">
        <v>-84.178319999999999</v>
      </c>
      <c r="D92" s="1">
        <v>1329</v>
      </c>
      <c r="E92" s="1" t="s">
        <v>49</v>
      </c>
      <c r="F92" s="1" t="s">
        <v>8</v>
      </c>
    </row>
    <row r="93" spans="1:6" x14ac:dyDescent="0.3">
      <c r="A93" s="1" t="s">
        <v>13</v>
      </c>
      <c r="B93" s="1">
        <v>33.425269999999998</v>
      </c>
      <c r="C93" s="1">
        <v>-84.184119999999993</v>
      </c>
      <c r="D93" s="1">
        <v>1329</v>
      </c>
      <c r="E93" s="1" t="s">
        <v>49</v>
      </c>
      <c r="F93" s="1" t="s">
        <v>8</v>
      </c>
    </row>
    <row r="94" spans="1:6" x14ac:dyDescent="0.3">
      <c r="A94" s="1" t="s">
        <v>13</v>
      </c>
      <c r="B94" s="1">
        <v>33.413690000000003</v>
      </c>
      <c r="C94" s="1">
        <v>-84.158100000000005</v>
      </c>
      <c r="D94" s="1">
        <v>1329</v>
      </c>
      <c r="E94" s="1" t="s">
        <v>49</v>
      </c>
      <c r="F94" s="1" t="s">
        <v>8</v>
      </c>
    </row>
    <row r="95" spans="1:6" x14ac:dyDescent="0.3">
      <c r="A95" s="2" t="s">
        <v>67</v>
      </c>
      <c r="B95" s="3">
        <v>33.412770000000002</v>
      </c>
      <c r="C95" s="3">
        <v>-84.158921000000007</v>
      </c>
      <c r="D95" s="1">
        <v>1329</v>
      </c>
      <c r="E95" s="2" t="s">
        <v>49</v>
      </c>
      <c r="F95" s="1" t="s">
        <v>8</v>
      </c>
    </row>
    <row r="96" spans="1:6" x14ac:dyDescent="0.3">
      <c r="A96" s="2" t="s">
        <v>68</v>
      </c>
      <c r="B96" s="3">
        <v>33.408700400000001</v>
      </c>
      <c r="C96" s="3">
        <v>-84.166120199999995</v>
      </c>
      <c r="D96" s="1">
        <v>1329</v>
      </c>
      <c r="E96" s="2" t="s">
        <v>49</v>
      </c>
      <c r="F96" s="1" t="s">
        <v>8</v>
      </c>
    </row>
    <row r="97" spans="1:6" x14ac:dyDescent="0.3">
      <c r="A97" s="2" t="s">
        <v>69</v>
      </c>
      <c r="B97" s="3">
        <v>33.211081999999998</v>
      </c>
      <c r="C97" s="3">
        <v>-84.057164</v>
      </c>
      <c r="D97" s="1">
        <v>1329</v>
      </c>
      <c r="E97" s="2" t="s">
        <v>49</v>
      </c>
      <c r="F97" s="1" t="s">
        <v>8</v>
      </c>
    </row>
    <row r="98" spans="1:6" x14ac:dyDescent="0.3">
      <c r="A98" s="2" t="s">
        <v>37</v>
      </c>
      <c r="B98" s="3">
        <v>33.209643999999997</v>
      </c>
      <c r="C98" s="3">
        <v>-84.057083000000006</v>
      </c>
      <c r="D98" s="1">
        <v>1329</v>
      </c>
      <c r="E98" s="2" t="s">
        <v>49</v>
      </c>
      <c r="F98" s="1" t="s">
        <v>8</v>
      </c>
    </row>
    <row r="99" spans="1:6" x14ac:dyDescent="0.3">
      <c r="A99" s="2" t="s">
        <v>70</v>
      </c>
      <c r="B99" s="3">
        <v>33.208793999999997</v>
      </c>
      <c r="C99" s="3">
        <v>-84.059954000000005</v>
      </c>
      <c r="D99" s="1">
        <v>1329</v>
      </c>
      <c r="E99" s="2" t="s">
        <v>49</v>
      </c>
      <c r="F99" s="1" t="s">
        <v>8</v>
      </c>
    </row>
    <row r="100" spans="1:6" x14ac:dyDescent="0.3">
      <c r="A100" s="2" t="s">
        <v>71</v>
      </c>
      <c r="B100" s="3">
        <v>33.208275</v>
      </c>
      <c r="C100" s="3">
        <v>-84.058456000000007</v>
      </c>
      <c r="D100" s="1">
        <v>1329</v>
      </c>
      <c r="E100" s="2" t="s">
        <v>49</v>
      </c>
      <c r="F100" s="1" t="s">
        <v>8</v>
      </c>
    </row>
    <row r="101" spans="1:6" x14ac:dyDescent="0.3">
      <c r="A101" s="2" t="s">
        <v>72</v>
      </c>
      <c r="B101" s="3">
        <v>33.208171999999998</v>
      </c>
      <c r="C101" s="3">
        <v>-84.065194000000005</v>
      </c>
      <c r="D101" s="1">
        <v>1329</v>
      </c>
      <c r="E101" s="2" t="s">
        <v>49</v>
      </c>
      <c r="F101" s="1" t="s">
        <v>8</v>
      </c>
    </row>
    <row r="102" spans="1:6" x14ac:dyDescent="0.3">
      <c r="A102" s="2" t="s">
        <v>73</v>
      </c>
      <c r="B102" s="3">
        <v>33.039572</v>
      </c>
      <c r="C102" s="3">
        <v>-83.939366000000007</v>
      </c>
      <c r="D102" s="1">
        <v>1329</v>
      </c>
      <c r="E102" s="2" t="s">
        <v>49</v>
      </c>
      <c r="F102" s="1" t="s">
        <v>8</v>
      </c>
    </row>
    <row r="103" spans="1:6" x14ac:dyDescent="0.3">
      <c r="A103" s="2" t="s">
        <v>74</v>
      </c>
      <c r="B103" s="3">
        <v>32.992516000000002</v>
      </c>
      <c r="C103" s="3">
        <v>-83.842313000000004</v>
      </c>
      <c r="D103" s="1">
        <v>1329</v>
      </c>
      <c r="E103" s="2" t="s">
        <v>49</v>
      </c>
      <c r="F103" s="1" t="s">
        <v>8</v>
      </c>
    </row>
    <row r="104" spans="1:6" x14ac:dyDescent="0.3">
      <c r="A104" s="2" t="s">
        <v>75</v>
      </c>
      <c r="B104" s="3">
        <v>32.658101000000002</v>
      </c>
      <c r="C104" s="3">
        <v>-83.745496000000003</v>
      </c>
      <c r="D104" s="1">
        <v>481</v>
      </c>
      <c r="E104" s="2" t="s">
        <v>49</v>
      </c>
      <c r="F104" s="1" t="s">
        <v>8</v>
      </c>
    </row>
    <row r="105" spans="1:6" x14ac:dyDescent="0.3">
      <c r="A105" s="2" t="s">
        <v>76</v>
      </c>
      <c r="B105" s="3">
        <v>32.657345999999997</v>
      </c>
      <c r="C105" s="3">
        <v>-83.747889999999998</v>
      </c>
      <c r="D105" s="1">
        <v>481</v>
      </c>
      <c r="E105" s="2" t="s">
        <v>49</v>
      </c>
      <c r="F105" s="1" t="s">
        <v>8</v>
      </c>
    </row>
    <row r="106" spans="1:6" x14ac:dyDescent="0.3">
      <c r="A106" s="2" t="s">
        <v>11</v>
      </c>
      <c r="B106" s="3">
        <v>32.611662000000003</v>
      </c>
      <c r="C106" s="3">
        <v>-83.744123999999999</v>
      </c>
      <c r="D106" s="1">
        <v>481</v>
      </c>
      <c r="E106" s="2" t="s">
        <v>49</v>
      </c>
      <c r="F106" s="1" t="s">
        <v>8</v>
      </c>
    </row>
    <row r="107" spans="1:6" x14ac:dyDescent="0.3">
      <c r="A107" s="2" t="s">
        <v>77</v>
      </c>
      <c r="B107" s="3">
        <v>32.493121000000002</v>
      </c>
      <c r="C107" s="3">
        <v>-83.740003000000002</v>
      </c>
      <c r="D107" s="1">
        <v>481</v>
      </c>
      <c r="E107" s="2" t="s">
        <v>49</v>
      </c>
      <c r="F107" s="1" t="s">
        <v>8</v>
      </c>
    </row>
    <row r="108" spans="1:6" x14ac:dyDescent="0.3">
      <c r="A108" s="2" t="s">
        <v>78</v>
      </c>
      <c r="B108" s="3">
        <v>32.472499999999997</v>
      </c>
      <c r="C108" s="3">
        <v>-83.745726000000005</v>
      </c>
      <c r="D108" s="1">
        <v>481</v>
      </c>
      <c r="E108" s="2" t="s">
        <v>49</v>
      </c>
      <c r="F108" s="1" t="s">
        <v>8</v>
      </c>
    </row>
    <row r="109" spans="1:6" x14ac:dyDescent="0.3">
      <c r="A109" s="2" t="s">
        <v>79</v>
      </c>
      <c r="B109" s="3">
        <v>32.469487000000001</v>
      </c>
      <c r="C109" s="3">
        <v>-83.741825000000006</v>
      </c>
      <c r="D109" s="1">
        <v>481</v>
      </c>
      <c r="E109" s="2" t="s">
        <v>49</v>
      </c>
      <c r="F109" s="1" t="s">
        <v>8</v>
      </c>
    </row>
    <row r="110" spans="1:6" x14ac:dyDescent="0.3">
      <c r="A110" s="2" t="s">
        <v>79</v>
      </c>
      <c r="B110" s="3">
        <v>32.446849</v>
      </c>
      <c r="C110" s="3">
        <v>-83.751872000000006</v>
      </c>
      <c r="D110" s="1">
        <v>481</v>
      </c>
      <c r="E110" s="2" t="s">
        <v>49</v>
      </c>
      <c r="F110" s="1" t="s">
        <v>8</v>
      </c>
    </row>
    <row r="111" spans="1:6" x14ac:dyDescent="0.3">
      <c r="A111" s="2" t="s">
        <v>80</v>
      </c>
      <c r="B111" s="3">
        <v>32.244838000000001</v>
      </c>
      <c r="C111" s="3">
        <v>-83.745559999999998</v>
      </c>
      <c r="D111" s="1">
        <v>481</v>
      </c>
      <c r="E111" s="2" t="s">
        <v>49</v>
      </c>
      <c r="F111" s="1" t="s">
        <v>8</v>
      </c>
    </row>
    <row r="112" spans="1:6" x14ac:dyDescent="0.3">
      <c r="A112" s="2" t="s">
        <v>81</v>
      </c>
      <c r="B112" s="3">
        <v>32.191954000000003</v>
      </c>
      <c r="C112" s="3">
        <v>-83.749317000000005</v>
      </c>
      <c r="D112" s="1">
        <v>481</v>
      </c>
      <c r="E112" s="2" t="s">
        <v>49</v>
      </c>
      <c r="F112" s="1" t="s">
        <v>8</v>
      </c>
    </row>
    <row r="113" spans="1:6" x14ac:dyDescent="0.3">
      <c r="A113" s="2" t="s">
        <v>82</v>
      </c>
      <c r="B113" s="3">
        <v>32.121972</v>
      </c>
      <c r="C113" s="3">
        <v>-83.763216999999997</v>
      </c>
      <c r="D113" s="1">
        <v>481</v>
      </c>
      <c r="E113" s="2" t="s">
        <v>49</v>
      </c>
      <c r="F113" s="1" t="s">
        <v>8</v>
      </c>
    </row>
    <row r="114" spans="1:6" x14ac:dyDescent="0.3">
      <c r="A114" s="2" t="s">
        <v>11</v>
      </c>
      <c r="B114" s="3">
        <v>32.086430999999997</v>
      </c>
      <c r="C114" s="3">
        <v>-83.760450000000006</v>
      </c>
      <c r="D114" s="1">
        <v>481</v>
      </c>
      <c r="E114" s="2" t="s">
        <v>49</v>
      </c>
      <c r="F114" s="1" t="s">
        <v>8</v>
      </c>
    </row>
    <row r="115" spans="1:6" x14ac:dyDescent="0.3">
      <c r="A115" s="2" t="s">
        <v>65</v>
      </c>
      <c r="B115" s="3">
        <v>31.963667999999998</v>
      </c>
      <c r="C115" s="3">
        <v>-83.761868000000007</v>
      </c>
      <c r="D115" s="1">
        <v>481</v>
      </c>
      <c r="E115" s="2" t="s">
        <v>49</v>
      </c>
      <c r="F115" s="1" t="s">
        <v>8</v>
      </c>
    </row>
    <row r="116" spans="1:6" x14ac:dyDescent="0.3">
      <c r="A116" s="2" t="s">
        <v>11</v>
      </c>
      <c r="B116" s="3">
        <v>31.959105999999998</v>
      </c>
      <c r="C116" s="3">
        <v>-83.746972999999997</v>
      </c>
      <c r="D116" s="1">
        <v>481</v>
      </c>
      <c r="E116" s="2" t="s">
        <v>49</v>
      </c>
      <c r="F116" s="1" t="s">
        <v>8</v>
      </c>
    </row>
    <row r="117" spans="1:6" x14ac:dyDescent="0.3">
      <c r="A117" s="2" t="s">
        <v>83</v>
      </c>
      <c r="B117" s="3">
        <v>31.734248999999998</v>
      </c>
      <c r="C117" s="3">
        <v>-83.652428999999998</v>
      </c>
      <c r="D117" s="1">
        <v>481</v>
      </c>
      <c r="E117" s="2" t="s">
        <v>49</v>
      </c>
      <c r="F117" s="1" t="s">
        <v>8</v>
      </c>
    </row>
    <row r="118" spans="1:6" x14ac:dyDescent="0.3">
      <c r="A118" s="2" t="s">
        <v>84</v>
      </c>
      <c r="B118" s="3">
        <v>31.68083</v>
      </c>
      <c r="C118" s="3">
        <v>-83.621481000000003</v>
      </c>
      <c r="D118" s="1">
        <v>481</v>
      </c>
      <c r="E118" s="2" t="s">
        <v>49</v>
      </c>
      <c r="F118" s="1" t="s">
        <v>8</v>
      </c>
    </row>
    <row r="119" spans="1:6" x14ac:dyDescent="0.3">
      <c r="A119" s="2" t="s">
        <v>85</v>
      </c>
      <c r="B119" s="3">
        <v>31.450261999999999</v>
      </c>
      <c r="C119" s="3">
        <v>-83.527974</v>
      </c>
      <c r="D119" s="1">
        <v>481</v>
      </c>
      <c r="E119" s="2" t="s">
        <v>49</v>
      </c>
      <c r="F119" s="1" t="s">
        <v>8</v>
      </c>
    </row>
    <row r="120" spans="1:6" x14ac:dyDescent="0.3">
      <c r="A120" s="2" t="s">
        <v>86</v>
      </c>
      <c r="B120" s="3">
        <v>31.440919999999998</v>
      </c>
      <c r="C120" s="3">
        <v>-83.529246000000001</v>
      </c>
      <c r="D120" s="1">
        <v>481</v>
      </c>
      <c r="E120" s="2" t="s">
        <v>49</v>
      </c>
      <c r="F120" s="1" t="s">
        <v>8</v>
      </c>
    </row>
    <row r="121" spans="1:6" x14ac:dyDescent="0.3">
      <c r="A121" s="2" t="s">
        <v>11</v>
      </c>
      <c r="B121" s="3">
        <v>31.428515999999998</v>
      </c>
      <c r="C121" s="3">
        <v>-83.517134999999996</v>
      </c>
      <c r="D121" s="1">
        <v>481</v>
      </c>
      <c r="E121" s="2" t="s">
        <v>49</v>
      </c>
      <c r="F121" s="1" t="s">
        <v>8</v>
      </c>
    </row>
    <row r="122" spans="1:6" x14ac:dyDescent="0.3">
      <c r="A122" s="2" t="s">
        <v>37</v>
      </c>
      <c r="B122" s="3">
        <v>31.415666999999999</v>
      </c>
      <c r="C122" s="3">
        <v>-83.501911000000007</v>
      </c>
      <c r="D122" s="1">
        <v>481</v>
      </c>
      <c r="E122" s="2" t="s">
        <v>49</v>
      </c>
      <c r="F122" s="1" t="s">
        <v>8</v>
      </c>
    </row>
    <row r="123" spans="1:6" x14ac:dyDescent="0.3">
      <c r="A123" s="2" t="s">
        <v>87</v>
      </c>
      <c r="B123" s="3">
        <v>31.268170000000001</v>
      </c>
      <c r="C123" s="3">
        <v>-83.473241000000002</v>
      </c>
      <c r="D123" s="1">
        <v>481</v>
      </c>
      <c r="E123" s="2" t="s">
        <v>49</v>
      </c>
      <c r="F123" s="1" t="s">
        <v>8</v>
      </c>
    </row>
    <row r="124" spans="1:6" x14ac:dyDescent="0.3">
      <c r="A124" s="2" t="s">
        <v>88</v>
      </c>
      <c r="B124" s="3">
        <v>31.138836000000001</v>
      </c>
      <c r="C124" s="3">
        <v>-83.444462000000001</v>
      </c>
      <c r="D124" s="1">
        <v>481</v>
      </c>
      <c r="E124" s="2" t="s">
        <v>49</v>
      </c>
      <c r="F124" s="1" t="s">
        <v>8</v>
      </c>
    </row>
    <row r="125" spans="1:6" x14ac:dyDescent="0.3">
      <c r="A125" s="2" t="s">
        <v>89</v>
      </c>
      <c r="B125" s="3">
        <v>30.991741999999999</v>
      </c>
      <c r="C125" s="3">
        <v>-83.388801000000001</v>
      </c>
      <c r="D125" s="1">
        <v>481</v>
      </c>
      <c r="E125" s="2" t="s">
        <v>49</v>
      </c>
      <c r="F125" s="1" t="s">
        <v>8</v>
      </c>
    </row>
    <row r="126" spans="1:6" x14ac:dyDescent="0.3">
      <c r="A126" s="1" t="s">
        <v>13</v>
      </c>
      <c r="B126" s="1">
        <v>30.894020000000001</v>
      </c>
      <c r="C126" s="1">
        <v>-83.349000000000004</v>
      </c>
      <c r="D126" s="1">
        <v>481</v>
      </c>
      <c r="E126" s="1" t="s">
        <v>49</v>
      </c>
      <c r="F126" s="1" t="s">
        <v>8</v>
      </c>
    </row>
    <row r="127" spans="1:6" x14ac:dyDescent="0.3">
      <c r="A127" s="2" t="s">
        <v>65</v>
      </c>
      <c r="B127" s="3">
        <v>30.827112</v>
      </c>
      <c r="C127" s="3">
        <v>-83.318423999999993</v>
      </c>
      <c r="D127" s="1">
        <v>481</v>
      </c>
      <c r="E127" s="2" t="s">
        <v>49</v>
      </c>
      <c r="F127" s="1" t="s">
        <v>8</v>
      </c>
    </row>
    <row r="128" spans="1:6" x14ac:dyDescent="0.3">
      <c r="A128" s="2" t="s">
        <v>90</v>
      </c>
      <c r="B128" s="3">
        <v>30.821591000000002</v>
      </c>
      <c r="C128" s="3">
        <v>-83.309832</v>
      </c>
      <c r="D128" s="1">
        <v>481</v>
      </c>
      <c r="E128" s="2" t="s">
        <v>49</v>
      </c>
      <c r="F128" s="1" t="s">
        <v>8</v>
      </c>
    </row>
    <row r="129" spans="1:6" x14ac:dyDescent="0.3">
      <c r="A129" s="2" t="s">
        <v>91</v>
      </c>
      <c r="B129" s="3">
        <v>30.819520000000001</v>
      </c>
      <c r="C129" s="3">
        <v>-83.314615000000003</v>
      </c>
      <c r="D129" s="1">
        <v>481</v>
      </c>
      <c r="E129" s="2" t="s">
        <v>49</v>
      </c>
      <c r="F129" s="1" t="s">
        <v>8</v>
      </c>
    </row>
    <row r="130" spans="1:6" x14ac:dyDescent="0.3">
      <c r="A130" s="1" t="s">
        <v>13</v>
      </c>
      <c r="B130" s="1">
        <v>30.817730000000001</v>
      </c>
      <c r="C130" s="1">
        <v>-83.319119999999998</v>
      </c>
      <c r="D130" s="1">
        <v>481</v>
      </c>
      <c r="E130" s="1" t="s">
        <v>49</v>
      </c>
      <c r="F130" s="1" t="s">
        <v>8</v>
      </c>
    </row>
    <row r="131" spans="1:6" x14ac:dyDescent="0.3">
      <c r="A131" s="2" t="s">
        <v>11</v>
      </c>
      <c r="B131" s="3">
        <v>30.753843</v>
      </c>
      <c r="C131" s="3">
        <v>-83.272473000000005</v>
      </c>
      <c r="D131" s="1">
        <v>481</v>
      </c>
      <c r="E131" s="2" t="s">
        <v>49</v>
      </c>
      <c r="F131" s="1" t="s">
        <v>8</v>
      </c>
    </row>
    <row r="132" spans="1:6" x14ac:dyDescent="0.3">
      <c r="A132" s="2" t="s">
        <v>11</v>
      </c>
      <c r="B132" s="3">
        <v>30.753243000000001</v>
      </c>
      <c r="C132" s="3">
        <v>-83.272551000000007</v>
      </c>
      <c r="D132" s="1">
        <v>481</v>
      </c>
      <c r="E132" s="2" t="s">
        <v>49</v>
      </c>
      <c r="F132" s="1" t="s">
        <v>8</v>
      </c>
    </row>
    <row r="133" spans="1:6" x14ac:dyDescent="0.3">
      <c r="A133" s="2" t="s">
        <v>92</v>
      </c>
      <c r="B133" s="3">
        <v>30.67876</v>
      </c>
      <c r="C133" s="3">
        <v>-83.224245999999994</v>
      </c>
      <c r="D133" s="1">
        <v>481</v>
      </c>
      <c r="E133" s="2" t="s">
        <v>49</v>
      </c>
      <c r="F133" s="1" t="s">
        <v>8</v>
      </c>
    </row>
    <row r="134" spans="1:6" x14ac:dyDescent="0.3">
      <c r="A134" s="2" t="s">
        <v>93</v>
      </c>
      <c r="B134" s="3">
        <v>30.644919999999999</v>
      </c>
      <c r="C134" s="3">
        <v>-83.187557999999996</v>
      </c>
      <c r="D134" s="1">
        <v>481</v>
      </c>
      <c r="E134" s="2" t="s">
        <v>49</v>
      </c>
      <c r="F134" s="1" t="s">
        <v>8</v>
      </c>
    </row>
    <row r="135" spans="1:6" x14ac:dyDescent="0.3">
      <c r="A135" s="2" t="s">
        <v>94</v>
      </c>
      <c r="B135" s="3">
        <v>30.641667000000002</v>
      </c>
      <c r="C135" s="3">
        <v>-83.189722000000003</v>
      </c>
      <c r="D135" s="1">
        <v>481</v>
      </c>
      <c r="E135" s="2" t="s">
        <v>49</v>
      </c>
      <c r="F135" s="1" t="s">
        <v>8</v>
      </c>
    </row>
    <row r="136" spans="1:6" x14ac:dyDescent="0.3">
      <c r="A136" s="2" t="s">
        <v>9</v>
      </c>
      <c r="B136" s="3">
        <v>34.472890999999997</v>
      </c>
      <c r="C136" s="3">
        <v>-83.070609000000005</v>
      </c>
      <c r="D136" s="1">
        <v>1437</v>
      </c>
      <c r="E136" s="2" t="s">
        <v>95</v>
      </c>
      <c r="F136" s="1" t="s">
        <v>8</v>
      </c>
    </row>
    <row r="137" spans="1:6" x14ac:dyDescent="0.3">
      <c r="A137" s="2" t="s">
        <v>96</v>
      </c>
      <c r="B137" s="3">
        <v>34.392567999999997</v>
      </c>
      <c r="C137" s="3">
        <v>-83.229298999999997</v>
      </c>
      <c r="D137" s="1">
        <v>1437</v>
      </c>
      <c r="E137" s="2" t="s">
        <v>95</v>
      </c>
      <c r="F137" s="1" t="s">
        <v>8</v>
      </c>
    </row>
    <row r="138" spans="1:6" x14ac:dyDescent="0.3">
      <c r="A138" s="2" t="s">
        <v>97</v>
      </c>
      <c r="B138" s="3">
        <v>34.390248</v>
      </c>
      <c r="C138" s="3">
        <v>-83.227453999999994</v>
      </c>
      <c r="D138" s="1">
        <v>1437</v>
      </c>
      <c r="E138" s="2" t="s">
        <v>95</v>
      </c>
      <c r="F138" s="1" t="s">
        <v>8</v>
      </c>
    </row>
    <row r="139" spans="1:6" x14ac:dyDescent="0.3">
      <c r="A139" s="2" t="s">
        <v>98</v>
      </c>
      <c r="B139" s="3">
        <v>34.347759000000003</v>
      </c>
      <c r="C139" s="3">
        <v>-83.320742999999993</v>
      </c>
      <c r="D139" s="1">
        <v>1437</v>
      </c>
      <c r="E139" s="2" t="s">
        <v>95</v>
      </c>
      <c r="F139" s="1" t="s">
        <v>8</v>
      </c>
    </row>
    <row r="140" spans="1:6" x14ac:dyDescent="0.3">
      <c r="A140" s="2" t="s">
        <v>99</v>
      </c>
      <c r="B140" s="3">
        <v>34.347042000000002</v>
      </c>
      <c r="C140" s="3">
        <v>-83.319389000000001</v>
      </c>
      <c r="D140" s="1">
        <v>1437</v>
      </c>
      <c r="E140" s="2" t="s">
        <v>95</v>
      </c>
      <c r="F140" s="1" t="s">
        <v>8</v>
      </c>
    </row>
    <row r="141" spans="1:6" x14ac:dyDescent="0.3">
      <c r="A141" s="2" t="s">
        <v>100</v>
      </c>
      <c r="B141" s="3">
        <v>34.344994999999997</v>
      </c>
      <c r="C141" s="3">
        <v>-83.317565000000002</v>
      </c>
      <c r="D141" s="1">
        <v>1437</v>
      </c>
      <c r="E141" s="2" t="s">
        <v>95</v>
      </c>
      <c r="F141" s="1" t="s">
        <v>8</v>
      </c>
    </row>
    <row r="142" spans="1:6" x14ac:dyDescent="0.3">
      <c r="A142" s="1" t="s">
        <v>13</v>
      </c>
      <c r="B142" s="1">
        <v>34.256990000000002</v>
      </c>
      <c r="C142" s="1">
        <v>-83.464759999999998</v>
      </c>
      <c r="D142" s="1">
        <v>1437</v>
      </c>
      <c r="E142" s="1" t="s">
        <v>95</v>
      </c>
      <c r="F142" s="1" t="s">
        <v>8</v>
      </c>
    </row>
    <row r="143" spans="1:6" x14ac:dyDescent="0.3">
      <c r="A143" s="2" t="s">
        <v>101</v>
      </c>
      <c r="B143" s="3">
        <v>34.253400999999997</v>
      </c>
      <c r="C143" s="3">
        <v>-83.462301999999994</v>
      </c>
      <c r="D143" s="1">
        <v>1437</v>
      </c>
      <c r="E143" s="2" t="s">
        <v>95</v>
      </c>
      <c r="F143" s="1" t="s">
        <v>8</v>
      </c>
    </row>
    <row r="144" spans="1:6" x14ac:dyDescent="0.3">
      <c r="A144" s="2" t="s">
        <v>65</v>
      </c>
      <c r="B144" s="3">
        <v>34.247185999999999</v>
      </c>
      <c r="C144" s="3">
        <v>-83.457351000000003</v>
      </c>
      <c r="D144" s="1">
        <v>1437</v>
      </c>
      <c r="E144" s="2" t="s">
        <v>95</v>
      </c>
      <c r="F144" s="1" t="s">
        <v>8</v>
      </c>
    </row>
    <row r="145" spans="1:6" x14ac:dyDescent="0.3">
      <c r="A145" s="2" t="s">
        <v>101</v>
      </c>
      <c r="B145" s="3">
        <v>34.227885999999998</v>
      </c>
      <c r="C145" s="3">
        <v>-83.498602000000005</v>
      </c>
      <c r="D145" s="1">
        <v>1437</v>
      </c>
      <c r="E145" s="2" t="s">
        <v>95</v>
      </c>
      <c r="F145" s="1" t="s">
        <v>8</v>
      </c>
    </row>
    <row r="146" spans="1:6" x14ac:dyDescent="0.3">
      <c r="A146" s="2" t="s">
        <v>102</v>
      </c>
      <c r="B146" s="3">
        <v>34.152746</v>
      </c>
      <c r="C146" s="3">
        <v>-83.650665000000004</v>
      </c>
      <c r="D146" s="1">
        <v>1766</v>
      </c>
      <c r="E146" s="2" t="s">
        <v>95</v>
      </c>
      <c r="F146" s="1" t="s">
        <v>8</v>
      </c>
    </row>
    <row r="147" spans="1:6" x14ac:dyDescent="0.3">
      <c r="A147" s="1" t="s">
        <v>13</v>
      </c>
      <c r="B147" s="1">
        <v>34.152720000000002</v>
      </c>
      <c r="C147" s="1">
        <v>-83.640450000000001</v>
      </c>
      <c r="D147" s="1">
        <v>1766</v>
      </c>
      <c r="E147" s="1" t="s">
        <v>95</v>
      </c>
      <c r="F147" s="1" t="s">
        <v>8</v>
      </c>
    </row>
    <row r="148" spans="1:6" x14ac:dyDescent="0.3">
      <c r="A148" s="2" t="s">
        <v>11</v>
      </c>
      <c r="B148" s="3">
        <v>34.119554999999998</v>
      </c>
      <c r="C148" s="3">
        <v>-83.762789999999995</v>
      </c>
      <c r="D148" s="1">
        <v>1766</v>
      </c>
      <c r="E148" s="2" t="s">
        <v>95</v>
      </c>
      <c r="F148" s="1" t="s">
        <v>8</v>
      </c>
    </row>
    <row r="149" spans="1:6" x14ac:dyDescent="0.3">
      <c r="A149" s="1" t="s">
        <v>13</v>
      </c>
      <c r="B149" s="1">
        <v>34.119500000000002</v>
      </c>
      <c r="C149" s="1">
        <v>-83.7637</v>
      </c>
      <c r="D149" s="1">
        <v>1766</v>
      </c>
      <c r="E149" s="1" t="s">
        <v>95</v>
      </c>
      <c r="F149" s="1" t="s">
        <v>8</v>
      </c>
    </row>
    <row r="150" spans="1:6" x14ac:dyDescent="0.3">
      <c r="A150" s="1" t="s">
        <v>13</v>
      </c>
      <c r="B150" s="1">
        <v>34.105580000000003</v>
      </c>
      <c r="C150" s="1">
        <v>-84.031379999999999</v>
      </c>
      <c r="D150" s="1">
        <v>1766</v>
      </c>
      <c r="E150" s="1" t="s">
        <v>95</v>
      </c>
      <c r="F150" s="1" t="s">
        <v>8</v>
      </c>
    </row>
    <row r="151" spans="1:6" x14ac:dyDescent="0.3">
      <c r="A151" s="1" t="s">
        <v>13</v>
      </c>
      <c r="B151" s="1">
        <v>34.093069999999997</v>
      </c>
      <c r="C151" s="1">
        <v>-83.810159999999996</v>
      </c>
      <c r="D151" s="1">
        <v>1766</v>
      </c>
      <c r="E151" s="1" t="s">
        <v>95</v>
      </c>
      <c r="F151" s="1" t="s">
        <v>8</v>
      </c>
    </row>
    <row r="152" spans="1:6" x14ac:dyDescent="0.3">
      <c r="A152" s="1" t="s">
        <v>13</v>
      </c>
      <c r="B152" s="1">
        <v>34.045000000000002</v>
      </c>
      <c r="C152" s="1">
        <v>-83.993510000000001</v>
      </c>
      <c r="D152" s="1">
        <v>1766</v>
      </c>
      <c r="E152" s="1" t="s">
        <v>95</v>
      </c>
      <c r="F152" s="1" t="s">
        <v>8</v>
      </c>
    </row>
    <row r="153" spans="1:6" x14ac:dyDescent="0.3">
      <c r="A153" s="1" t="s">
        <v>13</v>
      </c>
      <c r="B153" s="1">
        <v>34.021270000000001</v>
      </c>
      <c r="C153" s="1">
        <v>-84.119479999999996</v>
      </c>
      <c r="D153" s="1">
        <v>1766</v>
      </c>
      <c r="E153" s="1" t="s">
        <v>95</v>
      </c>
      <c r="F153" s="1" t="s">
        <v>8</v>
      </c>
    </row>
    <row r="154" spans="1:6" x14ac:dyDescent="0.3">
      <c r="A154" s="1" t="s">
        <v>13</v>
      </c>
      <c r="B154" s="1">
        <v>33.96978</v>
      </c>
      <c r="C154" s="1">
        <v>-84.2453</v>
      </c>
      <c r="D154" s="1">
        <v>1766</v>
      </c>
      <c r="E154" s="1" t="s">
        <v>95</v>
      </c>
      <c r="F154" s="1" t="s">
        <v>8</v>
      </c>
    </row>
    <row r="155" spans="1:6" x14ac:dyDescent="0.3">
      <c r="A155" s="1" t="s">
        <v>13</v>
      </c>
      <c r="B155" s="1">
        <v>33.961179999999999</v>
      </c>
      <c r="C155" s="1">
        <v>-84.226150000000004</v>
      </c>
      <c r="D155" s="1">
        <v>1766</v>
      </c>
      <c r="E155" s="1" t="s">
        <v>95</v>
      </c>
      <c r="F155" s="1" t="s">
        <v>8</v>
      </c>
    </row>
    <row r="156" spans="1:6" x14ac:dyDescent="0.3">
      <c r="A156" s="1" t="s">
        <v>13</v>
      </c>
      <c r="B156" s="1">
        <v>33.960349999999998</v>
      </c>
      <c r="C156" s="1">
        <v>-84.005600000000001</v>
      </c>
      <c r="D156" s="1">
        <v>1766</v>
      </c>
      <c r="E156" s="1" t="s">
        <v>95</v>
      </c>
      <c r="F156" s="1" t="s">
        <v>8</v>
      </c>
    </row>
    <row r="157" spans="1:6" x14ac:dyDescent="0.3">
      <c r="A157" s="1" t="s">
        <v>13</v>
      </c>
      <c r="B157" s="1">
        <v>33.954459999999997</v>
      </c>
      <c r="C157" s="1">
        <v>-84.219669999999994</v>
      </c>
      <c r="D157" s="1">
        <v>1766</v>
      </c>
      <c r="E157" s="1" t="s">
        <v>95</v>
      </c>
      <c r="F157" s="1" t="s">
        <v>8</v>
      </c>
    </row>
    <row r="158" spans="1:6" x14ac:dyDescent="0.3">
      <c r="A158" s="1" t="s">
        <v>13</v>
      </c>
      <c r="B158" s="1">
        <v>33.942979999999999</v>
      </c>
      <c r="C158" s="1">
        <v>-84.238249999999994</v>
      </c>
      <c r="D158" s="1">
        <v>1766</v>
      </c>
      <c r="E158" s="1" t="s">
        <v>95</v>
      </c>
      <c r="F158" s="1" t="s">
        <v>8</v>
      </c>
    </row>
    <row r="159" spans="1:6" x14ac:dyDescent="0.3">
      <c r="A159" s="1" t="s">
        <v>13</v>
      </c>
      <c r="B159" s="1">
        <v>33.935009999999998</v>
      </c>
      <c r="C159" s="1">
        <v>-84.156850000000006</v>
      </c>
      <c r="D159" s="1">
        <v>1766</v>
      </c>
      <c r="E159" s="1" t="s">
        <v>95</v>
      </c>
      <c r="F159" s="1" t="s">
        <v>8</v>
      </c>
    </row>
    <row r="160" spans="1:6" x14ac:dyDescent="0.3">
      <c r="A160" s="1" t="s">
        <v>13</v>
      </c>
      <c r="B160" s="1">
        <v>33.925429999999999</v>
      </c>
      <c r="C160" s="1">
        <v>-84.113429999999994</v>
      </c>
      <c r="D160" s="1">
        <v>1766</v>
      </c>
      <c r="E160" s="1" t="s">
        <v>95</v>
      </c>
      <c r="F160" s="1" t="s">
        <v>8</v>
      </c>
    </row>
    <row r="161" spans="1:6" x14ac:dyDescent="0.3">
      <c r="A161" s="1" t="s">
        <v>13</v>
      </c>
      <c r="B161" s="1">
        <v>33.924489999999999</v>
      </c>
      <c r="C161" s="1">
        <v>-84.017330000000001</v>
      </c>
      <c r="D161" s="1">
        <v>1766</v>
      </c>
      <c r="E161" s="1" t="s">
        <v>95</v>
      </c>
      <c r="F161" s="1" t="s">
        <v>8</v>
      </c>
    </row>
    <row r="162" spans="1:6" x14ac:dyDescent="0.3">
      <c r="A162" s="2" t="s">
        <v>103</v>
      </c>
      <c r="B162" s="3">
        <v>33.910536999999998</v>
      </c>
      <c r="C162" s="3">
        <v>-84.239704000000003</v>
      </c>
      <c r="D162" s="1">
        <v>1766</v>
      </c>
      <c r="E162" s="2" t="s">
        <v>95</v>
      </c>
      <c r="F162" s="1" t="s">
        <v>8</v>
      </c>
    </row>
    <row r="163" spans="1:6" x14ac:dyDescent="0.3">
      <c r="A163" s="2" t="s">
        <v>104</v>
      </c>
      <c r="B163" s="3">
        <v>33.901488000000001</v>
      </c>
      <c r="C163" s="3">
        <v>-84.245580000000004</v>
      </c>
      <c r="D163" s="1">
        <v>1766</v>
      </c>
      <c r="E163" s="2" t="s">
        <v>95</v>
      </c>
      <c r="F163" s="1" t="s">
        <v>8</v>
      </c>
    </row>
    <row r="164" spans="1:6" x14ac:dyDescent="0.3">
      <c r="A164" s="1" t="s">
        <v>13</v>
      </c>
      <c r="B164" s="1">
        <v>33.866030000000002</v>
      </c>
      <c r="C164" s="1">
        <v>-84.310050000000004</v>
      </c>
      <c r="D164" s="1">
        <v>1766</v>
      </c>
      <c r="E164" s="1" t="s">
        <v>95</v>
      </c>
      <c r="F164" s="1" t="s">
        <v>8</v>
      </c>
    </row>
    <row r="165" spans="1:6" x14ac:dyDescent="0.3">
      <c r="A165" s="1" t="s">
        <v>13</v>
      </c>
      <c r="B165" s="1">
        <v>33.65842</v>
      </c>
      <c r="C165" s="1">
        <v>-84.427760000000006</v>
      </c>
      <c r="D165" s="1">
        <v>1134</v>
      </c>
      <c r="E165" s="1" t="s">
        <v>95</v>
      </c>
      <c r="F165" s="1" t="s">
        <v>8</v>
      </c>
    </row>
    <row r="166" spans="1:6" x14ac:dyDescent="0.3">
      <c r="A166" s="1" t="s">
        <v>13</v>
      </c>
      <c r="B166" s="1">
        <v>33.64884</v>
      </c>
      <c r="C166" s="1">
        <v>-84.462999999999994</v>
      </c>
      <c r="D166" s="1">
        <v>1134</v>
      </c>
      <c r="E166" s="1" t="s">
        <v>95</v>
      </c>
      <c r="F166" s="1" t="s">
        <v>8</v>
      </c>
    </row>
    <row r="167" spans="1:6" x14ac:dyDescent="0.3">
      <c r="A167" s="2" t="s">
        <v>105</v>
      </c>
      <c r="B167" s="3">
        <v>33.624299999999998</v>
      </c>
      <c r="C167" s="3">
        <v>-84.466499999999996</v>
      </c>
      <c r="D167" s="1">
        <v>1134</v>
      </c>
      <c r="E167" s="2" t="s">
        <v>95</v>
      </c>
      <c r="F167" s="1" t="s">
        <v>8</v>
      </c>
    </row>
    <row r="168" spans="1:6" x14ac:dyDescent="0.3">
      <c r="A168" s="2" t="s">
        <v>65</v>
      </c>
      <c r="B168" s="3">
        <v>33.571255999999998</v>
      </c>
      <c r="C168" s="3">
        <v>-84.542026000000007</v>
      </c>
      <c r="D168" s="1">
        <v>1134</v>
      </c>
      <c r="E168" s="2" t="s">
        <v>95</v>
      </c>
      <c r="F168" s="1" t="s">
        <v>8</v>
      </c>
    </row>
    <row r="169" spans="1:6" x14ac:dyDescent="0.3">
      <c r="A169" s="1" t="s">
        <v>13</v>
      </c>
      <c r="B169" s="1">
        <v>33.568620000000003</v>
      </c>
      <c r="C169" s="1">
        <v>-84.526650000000004</v>
      </c>
      <c r="D169" s="1">
        <v>1134</v>
      </c>
      <c r="E169" s="1" t="s">
        <v>95</v>
      </c>
      <c r="F169" s="1" t="s">
        <v>8</v>
      </c>
    </row>
    <row r="170" spans="1:6" x14ac:dyDescent="0.3">
      <c r="A170" s="1" t="s">
        <v>13</v>
      </c>
      <c r="B170" s="1">
        <v>33.541989999999998</v>
      </c>
      <c r="C170" s="1">
        <v>-84.577809999999999</v>
      </c>
      <c r="D170" s="1">
        <v>1134</v>
      </c>
      <c r="E170" s="1" t="s">
        <v>95</v>
      </c>
      <c r="F170" s="1" t="s">
        <v>8</v>
      </c>
    </row>
    <row r="171" spans="1:6" x14ac:dyDescent="0.3">
      <c r="A171" s="2" t="s">
        <v>106</v>
      </c>
      <c r="B171" s="3">
        <v>33.541826</v>
      </c>
      <c r="C171" s="3">
        <v>-84.576824000000002</v>
      </c>
      <c r="D171" s="1">
        <v>1134</v>
      </c>
      <c r="E171" s="2" t="s">
        <v>95</v>
      </c>
      <c r="F171" s="1" t="s">
        <v>8</v>
      </c>
    </row>
    <row r="172" spans="1:6" x14ac:dyDescent="0.3">
      <c r="A172" s="1" t="s">
        <v>13</v>
      </c>
      <c r="B172" s="1">
        <v>33.39734</v>
      </c>
      <c r="C172" s="1">
        <v>-84.753280000000004</v>
      </c>
      <c r="D172" s="1">
        <v>1134</v>
      </c>
      <c r="E172" s="1" t="s">
        <v>95</v>
      </c>
      <c r="F172" s="1" t="s">
        <v>8</v>
      </c>
    </row>
    <row r="173" spans="1:6" x14ac:dyDescent="0.3">
      <c r="A173" s="2" t="s">
        <v>65</v>
      </c>
      <c r="B173" s="3">
        <v>33.396442999999998</v>
      </c>
      <c r="C173" s="3">
        <v>-84.744887000000006</v>
      </c>
      <c r="D173" s="1">
        <v>1134</v>
      </c>
      <c r="E173" s="2" t="s">
        <v>95</v>
      </c>
      <c r="F173" s="1" t="s">
        <v>8</v>
      </c>
    </row>
    <row r="174" spans="1:6" x14ac:dyDescent="0.3">
      <c r="A174" s="1" t="s">
        <v>13</v>
      </c>
      <c r="B174" s="1">
        <v>33.359830000000002</v>
      </c>
      <c r="C174" s="1">
        <v>-84.752170000000007</v>
      </c>
      <c r="D174" s="1">
        <v>1134</v>
      </c>
      <c r="E174" s="1" t="s">
        <v>95</v>
      </c>
      <c r="F174" s="1" t="s">
        <v>8</v>
      </c>
    </row>
    <row r="175" spans="1:6" x14ac:dyDescent="0.3">
      <c r="A175" s="2" t="s">
        <v>107</v>
      </c>
      <c r="B175" s="3">
        <v>33.326608999999998</v>
      </c>
      <c r="C175" s="3">
        <v>-84.779263</v>
      </c>
      <c r="D175" s="1">
        <v>1134</v>
      </c>
      <c r="E175" s="2" t="s">
        <v>95</v>
      </c>
      <c r="F175" s="1" t="s">
        <v>8</v>
      </c>
    </row>
    <row r="176" spans="1:6" x14ac:dyDescent="0.3">
      <c r="A176" s="2" t="s">
        <v>11</v>
      </c>
      <c r="B176" s="3">
        <v>33.321111000000002</v>
      </c>
      <c r="C176" s="3">
        <v>-84.776757000000003</v>
      </c>
      <c r="D176" s="1">
        <v>1134</v>
      </c>
      <c r="E176" s="2" t="s">
        <v>95</v>
      </c>
      <c r="F176" s="1" t="s">
        <v>8</v>
      </c>
    </row>
    <row r="177" spans="1:6" x14ac:dyDescent="0.3">
      <c r="A177" s="2" t="s">
        <v>37</v>
      </c>
      <c r="B177" s="3">
        <v>33.160556999999997</v>
      </c>
      <c r="C177" s="3">
        <v>-84.870805000000004</v>
      </c>
      <c r="D177" s="1">
        <v>1134</v>
      </c>
      <c r="E177" s="2" t="s">
        <v>95</v>
      </c>
      <c r="F177" s="1" t="s">
        <v>8</v>
      </c>
    </row>
    <row r="178" spans="1:6" x14ac:dyDescent="0.3">
      <c r="A178" s="1" t="s">
        <v>13</v>
      </c>
      <c r="B178" s="1">
        <v>33.042839999999998</v>
      </c>
      <c r="C178" s="1">
        <v>-84.976089999999999</v>
      </c>
      <c r="D178" s="1">
        <v>1134</v>
      </c>
      <c r="E178" s="1" t="s">
        <v>95</v>
      </c>
      <c r="F178" s="1" t="s">
        <v>8</v>
      </c>
    </row>
    <row r="179" spans="1:6" x14ac:dyDescent="0.3">
      <c r="A179" s="2" t="s">
        <v>11</v>
      </c>
      <c r="B179" s="3">
        <v>32.990507999999998</v>
      </c>
      <c r="C179" s="3">
        <v>-85.029562999999996</v>
      </c>
      <c r="D179" s="1">
        <v>1134</v>
      </c>
      <c r="E179" s="2" t="s">
        <v>95</v>
      </c>
      <c r="F179" s="1" t="s">
        <v>8</v>
      </c>
    </row>
    <row r="180" spans="1:6" x14ac:dyDescent="0.3">
      <c r="A180" s="2" t="s">
        <v>108</v>
      </c>
      <c r="B180" s="3">
        <v>32.986114999999998</v>
      </c>
      <c r="C180" s="3">
        <v>-85.029677000000007</v>
      </c>
      <c r="D180" s="1">
        <v>1134</v>
      </c>
      <c r="E180" s="2" t="s">
        <v>95</v>
      </c>
      <c r="F180" s="1" t="s">
        <v>8</v>
      </c>
    </row>
    <row r="181" spans="1:6" x14ac:dyDescent="0.3">
      <c r="A181" s="2" t="s">
        <v>109</v>
      </c>
      <c r="B181" s="3">
        <v>32.661118999999999</v>
      </c>
      <c r="C181" s="3">
        <v>-84.984403</v>
      </c>
      <c r="D181" s="1">
        <v>1134</v>
      </c>
      <c r="E181" s="2" t="s">
        <v>95</v>
      </c>
      <c r="F181" s="1" t="s">
        <v>8</v>
      </c>
    </row>
    <row r="182" spans="1:6" x14ac:dyDescent="0.3">
      <c r="A182" s="2" t="s">
        <v>110</v>
      </c>
      <c r="B182" s="3">
        <v>32.455193000000001</v>
      </c>
      <c r="C182" s="3">
        <v>-84.945216000000002</v>
      </c>
      <c r="D182" s="1">
        <v>1134</v>
      </c>
      <c r="E182" s="2" t="s">
        <v>95</v>
      </c>
      <c r="F182" s="1" t="s">
        <v>8</v>
      </c>
    </row>
    <row r="183" spans="1:6" x14ac:dyDescent="0.3">
      <c r="A183" s="2" t="s">
        <v>112</v>
      </c>
      <c r="B183" s="3">
        <v>33.740319</v>
      </c>
      <c r="C183" s="3">
        <v>-85.287431999999995</v>
      </c>
      <c r="D183" s="1">
        <v>1243</v>
      </c>
      <c r="E183" s="2" t="s">
        <v>111</v>
      </c>
      <c r="F183" s="1" t="s">
        <v>8</v>
      </c>
    </row>
    <row r="184" spans="1:6" x14ac:dyDescent="0.3">
      <c r="A184" s="2" t="s">
        <v>11</v>
      </c>
      <c r="B184" s="3">
        <v>33.681790999999997</v>
      </c>
      <c r="C184" s="3">
        <v>-85.262472000000002</v>
      </c>
      <c r="D184" s="1">
        <v>1243</v>
      </c>
      <c r="E184" s="2" t="s">
        <v>111</v>
      </c>
      <c r="F184" s="1" t="s">
        <v>8</v>
      </c>
    </row>
    <row r="185" spans="1:6" x14ac:dyDescent="0.3">
      <c r="A185" s="2" t="s">
        <v>113</v>
      </c>
      <c r="B185" s="3">
        <v>33.681790999999997</v>
      </c>
      <c r="C185" s="3">
        <v>-85.262472000000002</v>
      </c>
      <c r="D185" s="1">
        <v>1243</v>
      </c>
      <c r="E185" s="2" t="s">
        <v>111</v>
      </c>
      <c r="F185" s="1" t="s">
        <v>8</v>
      </c>
    </row>
    <row r="186" spans="1:6" x14ac:dyDescent="0.3">
      <c r="A186" s="2" t="s">
        <v>37</v>
      </c>
      <c r="B186" s="3">
        <v>33.691208000000003</v>
      </c>
      <c r="C186" s="3">
        <v>-85.188536999999997</v>
      </c>
      <c r="D186" s="1">
        <v>1243</v>
      </c>
      <c r="E186" s="2" t="s">
        <v>111</v>
      </c>
      <c r="F186" s="1" t="s">
        <v>8</v>
      </c>
    </row>
    <row r="187" spans="1:6" x14ac:dyDescent="0.3">
      <c r="A187" s="2" t="s">
        <v>65</v>
      </c>
      <c r="B187" s="3">
        <v>33.709114999999997</v>
      </c>
      <c r="C187" s="3">
        <v>-85.161938000000006</v>
      </c>
      <c r="D187" s="1">
        <v>1243</v>
      </c>
      <c r="E187" s="2" t="s">
        <v>111</v>
      </c>
      <c r="F187" s="1" t="s">
        <v>8</v>
      </c>
    </row>
    <row r="188" spans="1:6" x14ac:dyDescent="0.3">
      <c r="A188" s="2" t="s">
        <v>114</v>
      </c>
      <c r="B188" s="3">
        <v>33.681868000000001</v>
      </c>
      <c r="C188" s="3">
        <v>-85.150946000000005</v>
      </c>
      <c r="D188" s="1">
        <v>1243</v>
      </c>
      <c r="E188" s="2" t="s">
        <v>111</v>
      </c>
      <c r="F188" s="1" t="s">
        <v>8</v>
      </c>
    </row>
    <row r="189" spans="1:6" x14ac:dyDescent="0.3">
      <c r="A189" s="2" t="s">
        <v>115</v>
      </c>
      <c r="B189" s="3">
        <v>33.688388000000003</v>
      </c>
      <c r="C189" s="3">
        <v>-85.150865999999994</v>
      </c>
      <c r="D189" s="1">
        <v>1243</v>
      </c>
      <c r="E189" s="2" t="s">
        <v>111</v>
      </c>
      <c r="F189" s="1" t="s">
        <v>8</v>
      </c>
    </row>
    <row r="190" spans="1:6" x14ac:dyDescent="0.3">
      <c r="A190" s="2" t="s">
        <v>11</v>
      </c>
      <c r="B190" s="3">
        <v>33.719926000000001</v>
      </c>
      <c r="C190" s="3">
        <v>-85.028790999999998</v>
      </c>
      <c r="D190" s="1">
        <v>1243</v>
      </c>
      <c r="E190" s="2" t="s">
        <v>111</v>
      </c>
      <c r="F190" s="1" t="s">
        <v>8</v>
      </c>
    </row>
    <row r="191" spans="1:6" x14ac:dyDescent="0.3">
      <c r="A191" s="2" t="s">
        <v>116</v>
      </c>
      <c r="B191" s="3">
        <v>33.721277000000001</v>
      </c>
      <c r="C191" s="3">
        <v>-85.028647000000007</v>
      </c>
      <c r="D191" s="1">
        <v>1243</v>
      </c>
      <c r="E191" s="2" t="s">
        <v>111</v>
      </c>
      <c r="F191" s="1" t="s">
        <v>8</v>
      </c>
    </row>
    <row r="192" spans="1:6" x14ac:dyDescent="0.3">
      <c r="A192" s="2" t="s">
        <v>117</v>
      </c>
      <c r="B192" s="3">
        <v>33.719444000000003</v>
      </c>
      <c r="C192" s="3">
        <v>-85.026667000000003</v>
      </c>
      <c r="D192" s="1">
        <v>1243</v>
      </c>
      <c r="E192" s="2" t="s">
        <v>111</v>
      </c>
      <c r="F192" s="1" t="s">
        <v>8</v>
      </c>
    </row>
    <row r="193" spans="1:6" x14ac:dyDescent="0.3">
      <c r="A193" s="1" t="s">
        <v>13</v>
      </c>
      <c r="B193" s="1">
        <v>33.728340000000003</v>
      </c>
      <c r="C193" s="1">
        <v>-84.940799999999996</v>
      </c>
      <c r="D193" s="1">
        <v>1243</v>
      </c>
      <c r="E193" s="1" t="s">
        <v>111</v>
      </c>
      <c r="F193" s="1" t="s">
        <v>8</v>
      </c>
    </row>
    <row r="194" spans="1:6" x14ac:dyDescent="0.3">
      <c r="A194" s="2" t="s">
        <v>118</v>
      </c>
      <c r="B194" s="3">
        <v>33.721590999999997</v>
      </c>
      <c r="C194" s="3">
        <v>-84.903287000000006</v>
      </c>
      <c r="D194" s="1">
        <v>1243</v>
      </c>
      <c r="E194" s="2" t="s">
        <v>111</v>
      </c>
      <c r="F194" s="1" t="s">
        <v>8</v>
      </c>
    </row>
    <row r="195" spans="1:6" x14ac:dyDescent="0.3">
      <c r="A195" s="1" t="s">
        <v>13</v>
      </c>
      <c r="B195" s="1">
        <v>33.729819999999997</v>
      </c>
      <c r="C195" s="1">
        <v>-84.761279999999999</v>
      </c>
      <c r="D195" s="1">
        <v>1243</v>
      </c>
      <c r="E195" s="1" t="s">
        <v>111</v>
      </c>
      <c r="F195" s="1" t="s">
        <v>8</v>
      </c>
    </row>
    <row r="196" spans="1:6" x14ac:dyDescent="0.3">
      <c r="A196" s="2" t="s">
        <v>65</v>
      </c>
      <c r="B196" s="3">
        <v>33.732298</v>
      </c>
      <c r="C196" s="3">
        <v>-84.758319</v>
      </c>
      <c r="D196" s="1">
        <v>1065</v>
      </c>
      <c r="E196" s="2" t="s">
        <v>111</v>
      </c>
      <c r="F196" s="1" t="s">
        <v>8</v>
      </c>
    </row>
    <row r="197" spans="1:6" x14ac:dyDescent="0.3">
      <c r="A197" s="1" t="s">
        <v>13</v>
      </c>
      <c r="B197" s="1">
        <v>33.751860000000001</v>
      </c>
      <c r="C197" s="1">
        <v>-84.721040000000002</v>
      </c>
      <c r="D197" s="1">
        <v>1065</v>
      </c>
      <c r="E197" s="1" t="s">
        <v>111</v>
      </c>
      <c r="F197" s="1" t="s">
        <v>8</v>
      </c>
    </row>
    <row r="198" spans="1:6" x14ac:dyDescent="0.3">
      <c r="A198" s="1" t="s">
        <v>13</v>
      </c>
      <c r="B198" s="1">
        <v>33.731769999999997</v>
      </c>
      <c r="C198" s="1">
        <v>-84.669449999999998</v>
      </c>
      <c r="D198" s="1">
        <v>1065</v>
      </c>
      <c r="E198" s="1" t="s">
        <v>111</v>
      </c>
      <c r="F198" s="1" t="s">
        <v>8</v>
      </c>
    </row>
    <row r="199" spans="1:6" x14ac:dyDescent="0.3">
      <c r="A199" s="2" t="s">
        <v>119</v>
      </c>
      <c r="B199" s="3">
        <v>33.771121999999998</v>
      </c>
      <c r="C199" s="3">
        <v>-84.652625</v>
      </c>
      <c r="D199" s="1">
        <v>1065</v>
      </c>
      <c r="E199" s="2" t="s">
        <v>111</v>
      </c>
      <c r="F199" s="1" t="s">
        <v>8</v>
      </c>
    </row>
    <row r="200" spans="1:6" x14ac:dyDescent="0.3">
      <c r="A200" s="2" t="s">
        <v>16</v>
      </c>
      <c r="B200" s="3">
        <v>33.767228000000003</v>
      </c>
      <c r="C200" s="3">
        <v>-84.651910999999998</v>
      </c>
      <c r="D200" s="1">
        <v>1065</v>
      </c>
      <c r="E200" s="2" t="s">
        <v>111</v>
      </c>
      <c r="F200" s="1" t="s">
        <v>8</v>
      </c>
    </row>
    <row r="201" spans="1:6" x14ac:dyDescent="0.3">
      <c r="A201" s="1" t="s">
        <v>13</v>
      </c>
      <c r="B201" s="1">
        <v>33.787950000000002</v>
      </c>
      <c r="C201" s="1">
        <v>-84.617840000000001</v>
      </c>
      <c r="D201" s="1">
        <v>1065</v>
      </c>
      <c r="E201" s="1" t="s">
        <v>111</v>
      </c>
      <c r="F201" s="1" t="s">
        <v>8</v>
      </c>
    </row>
    <row r="202" spans="1:6" x14ac:dyDescent="0.3">
      <c r="A202" s="1" t="s">
        <v>13</v>
      </c>
      <c r="B202" s="1">
        <v>33.77084</v>
      </c>
      <c r="C202" s="1">
        <v>-84.603290000000001</v>
      </c>
      <c r="D202" s="1">
        <v>1065</v>
      </c>
      <c r="E202" s="1" t="s">
        <v>111</v>
      </c>
      <c r="F202" s="1" t="s">
        <v>8</v>
      </c>
    </row>
    <row r="203" spans="1:6" x14ac:dyDescent="0.3">
      <c r="A203" s="2" t="s">
        <v>120</v>
      </c>
      <c r="B203" s="3">
        <v>33.761681000000003</v>
      </c>
      <c r="C203" s="3">
        <v>-84.536516000000006</v>
      </c>
      <c r="D203" s="1">
        <v>1065</v>
      </c>
      <c r="E203" s="2" t="s">
        <v>111</v>
      </c>
      <c r="F203" s="1" t="s">
        <v>8</v>
      </c>
    </row>
    <row r="204" spans="1:6" x14ac:dyDescent="0.3">
      <c r="A204" s="1" t="s">
        <v>13</v>
      </c>
      <c r="B204" s="1">
        <v>33.78172</v>
      </c>
      <c r="C204" s="1">
        <v>-84.536090000000002</v>
      </c>
      <c r="D204" s="1">
        <v>1065</v>
      </c>
      <c r="E204" s="1" t="s">
        <v>111</v>
      </c>
      <c r="F204" s="1" t="s">
        <v>8</v>
      </c>
    </row>
    <row r="205" spans="1:6" x14ac:dyDescent="0.3">
      <c r="A205" s="1" t="s">
        <v>13</v>
      </c>
      <c r="B205" s="1">
        <v>33.799889999999998</v>
      </c>
      <c r="C205" s="1">
        <v>-84.513140000000007</v>
      </c>
      <c r="D205" s="1">
        <v>1065</v>
      </c>
      <c r="E205" s="1" t="s">
        <v>111</v>
      </c>
      <c r="F205" s="1" t="s">
        <v>8</v>
      </c>
    </row>
    <row r="206" spans="1:6" x14ac:dyDescent="0.3">
      <c r="A206" s="2" t="s">
        <v>65</v>
      </c>
      <c r="B206" s="3">
        <v>33.702491000000002</v>
      </c>
      <c r="C206" s="3">
        <v>-84.168525000000002</v>
      </c>
      <c r="D206" s="1">
        <v>1065</v>
      </c>
      <c r="E206" s="2" t="s">
        <v>111</v>
      </c>
      <c r="F206" s="1" t="s">
        <v>8</v>
      </c>
    </row>
    <row r="207" spans="1:6" x14ac:dyDescent="0.3">
      <c r="A207" s="2" t="s">
        <v>121</v>
      </c>
      <c r="B207" s="3">
        <v>33.699261</v>
      </c>
      <c r="C207" s="3">
        <v>-84.118612999999996</v>
      </c>
      <c r="D207" s="1">
        <v>1065</v>
      </c>
      <c r="E207" s="2" t="s">
        <v>111</v>
      </c>
      <c r="F207" s="1" t="s">
        <v>8</v>
      </c>
    </row>
    <row r="208" spans="1:6" x14ac:dyDescent="0.3">
      <c r="A208" s="1" t="s">
        <v>13</v>
      </c>
      <c r="B208" s="1">
        <v>33.723379999999999</v>
      </c>
      <c r="C208" s="1">
        <v>-84.092200000000005</v>
      </c>
      <c r="D208" s="1">
        <v>1065</v>
      </c>
      <c r="E208" s="1" t="s">
        <v>111</v>
      </c>
      <c r="F208" s="1" t="s">
        <v>8</v>
      </c>
    </row>
    <row r="209" spans="1:6" x14ac:dyDescent="0.3">
      <c r="A209" s="2" t="s">
        <v>122</v>
      </c>
      <c r="B209" s="3">
        <v>33.678488000000002</v>
      </c>
      <c r="C209" s="3">
        <v>-84.060590000000005</v>
      </c>
      <c r="D209" s="1">
        <v>1065</v>
      </c>
      <c r="E209" s="2" t="s">
        <v>111</v>
      </c>
      <c r="F209" s="1" t="s">
        <v>8</v>
      </c>
    </row>
    <row r="210" spans="1:6" x14ac:dyDescent="0.3">
      <c r="A210" s="1" t="s">
        <v>13</v>
      </c>
      <c r="B210" s="1">
        <v>33.669710000000002</v>
      </c>
      <c r="C210" s="1">
        <v>-83.988140000000001</v>
      </c>
      <c r="D210" s="1">
        <v>1065</v>
      </c>
      <c r="E210" s="1" t="s">
        <v>111</v>
      </c>
      <c r="F210" s="1" t="s">
        <v>8</v>
      </c>
    </row>
    <row r="211" spans="1:6" x14ac:dyDescent="0.3">
      <c r="A211" s="2" t="s">
        <v>65</v>
      </c>
      <c r="B211" s="3">
        <v>33.612268999999998</v>
      </c>
      <c r="C211" s="3">
        <v>-83.828783999999999</v>
      </c>
      <c r="D211" s="1">
        <v>1065</v>
      </c>
      <c r="E211" s="2" t="s">
        <v>111</v>
      </c>
      <c r="F211" s="1" t="s">
        <v>8</v>
      </c>
    </row>
    <row r="212" spans="1:6" x14ac:dyDescent="0.3">
      <c r="A212" s="2" t="s">
        <v>11</v>
      </c>
      <c r="B212" s="3">
        <v>33.561185999999999</v>
      </c>
      <c r="C212" s="3">
        <v>-83.477880999999996</v>
      </c>
      <c r="D212" s="1">
        <v>1060</v>
      </c>
      <c r="E212" s="2" t="s">
        <v>111</v>
      </c>
      <c r="F212" s="1" t="s">
        <v>8</v>
      </c>
    </row>
    <row r="213" spans="1:6" x14ac:dyDescent="0.3">
      <c r="A213" s="2" t="s">
        <v>123</v>
      </c>
      <c r="B213" s="3">
        <v>33.552810000000001</v>
      </c>
      <c r="C213" s="3">
        <v>-83.473758000000004</v>
      </c>
      <c r="D213" s="1">
        <v>1060</v>
      </c>
      <c r="E213" s="2" t="s">
        <v>111</v>
      </c>
      <c r="F213" s="1" t="s">
        <v>8</v>
      </c>
    </row>
    <row r="214" spans="1:6" x14ac:dyDescent="0.3">
      <c r="A214" s="1" t="s">
        <v>13</v>
      </c>
      <c r="B214" s="1">
        <v>33.540979174337103</v>
      </c>
      <c r="C214" s="1">
        <v>-83.208587693384601</v>
      </c>
      <c r="D214" s="1">
        <v>1060</v>
      </c>
      <c r="E214" s="1" t="s">
        <v>111</v>
      </c>
      <c r="F214" s="1" t="s">
        <v>8</v>
      </c>
    </row>
    <row r="215" spans="1:6" x14ac:dyDescent="0.3">
      <c r="A215" s="2" t="s">
        <v>124</v>
      </c>
      <c r="B215" s="3">
        <v>33.547348</v>
      </c>
      <c r="C215" s="3">
        <v>-83.078777000000002</v>
      </c>
      <c r="D215" s="1">
        <v>1060</v>
      </c>
      <c r="E215" s="2" t="s">
        <v>111</v>
      </c>
      <c r="F215" s="1" t="s">
        <v>8</v>
      </c>
    </row>
    <row r="216" spans="1:6" x14ac:dyDescent="0.3">
      <c r="A216" s="2" t="s">
        <v>37</v>
      </c>
      <c r="B216" s="3">
        <v>33.514198999999998</v>
      </c>
      <c r="C216" s="3">
        <v>-82.502540999999994</v>
      </c>
      <c r="D216" s="1">
        <v>1060</v>
      </c>
      <c r="E216" s="2" t="s">
        <v>111</v>
      </c>
      <c r="F216" s="1" t="s">
        <v>8</v>
      </c>
    </row>
    <row r="217" spans="1:6" x14ac:dyDescent="0.3">
      <c r="A217" s="2" t="s">
        <v>91</v>
      </c>
      <c r="B217" s="3">
        <v>33.509774999999998</v>
      </c>
      <c r="C217" s="3">
        <v>-82.502446000000006</v>
      </c>
      <c r="D217" s="1">
        <v>1060</v>
      </c>
      <c r="E217" s="2" t="s">
        <v>111</v>
      </c>
      <c r="F217" s="1" t="s">
        <v>8</v>
      </c>
    </row>
    <row r="218" spans="1:6" x14ac:dyDescent="0.3">
      <c r="A218" s="2" t="s">
        <v>10</v>
      </c>
      <c r="B218" s="3">
        <v>33.504897</v>
      </c>
      <c r="C218" s="3">
        <v>-82.502382999999995</v>
      </c>
      <c r="D218" s="1">
        <v>1060</v>
      </c>
      <c r="E218" s="2" t="s">
        <v>111</v>
      </c>
      <c r="F218" s="1" t="s">
        <v>8</v>
      </c>
    </row>
    <row r="219" spans="1:6" x14ac:dyDescent="0.3">
      <c r="A219" s="2" t="s">
        <v>16</v>
      </c>
      <c r="B219" s="3">
        <v>33.513171999999997</v>
      </c>
      <c r="C219" s="3">
        <v>-82.445374999999999</v>
      </c>
      <c r="D219" s="1">
        <v>1060</v>
      </c>
      <c r="E219" s="2" t="s">
        <v>111</v>
      </c>
      <c r="F219" s="1" t="s">
        <v>8</v>
      </c>
    </row>
    <row r="220" spans="1:6" x14ac:dyDescent="0.3">
      <c r="A220" s="2" t="s">
        <v>125</v>
      </c>
      <c r="B220" s="3">
        <v>33.485441999999999</v>
      </c>
      <c r="C220" s="3">
        <v>-82.200108999999998</v>
      </c>
      <c r="D220" s="1">
        <v>1060</v>
      </c>
      <c r="E220" s="2" t="s">
        <v>111</v>
      </c>
      <c r="F220" s="1" t="s">
        <v>8</v>
      </c>
    </row>
    <row r="221" spans="1:6" x14ac:dyDescent="0.3">
      <c r="A221" s="2" t="s">
        <v>11</v>
      </c>
      <c r="B221" s="3">
        <v>33.480383000000003</v>
      </c>
      <c r="C221" s="3">
        <v>-82.130245000000002</v>
      </c>
      <c r="D221" s="1">
        <v>1060</v>
      </c>
      <c r="E221" s="2" t="s">
        <v>111</v>
      </c>
      <c r="F221" s="1" t="s">
        <v>8</v>
      </c>
    </row>
    <row r="222" spans="1:6" x14ac:dyDescent="0.3">
      <c r="A222" s="2" t="s">
        <v>11</v>
      </c>
      <c r="B222" s="3">
        <v>33.522956999999998</v>
      </c>
      <c r="C222" s="3">
        <v>-82.034073000000006</v>
      </c>
      <c r="D222" s="1">
        <v>1060</v>
      </c>
      <c r="E222" s="2" t="s">
        <v>111</v>
      </c>
      <c r="F222" s="1" t="s">
        <v>8</v>
      </c>
    </row>
    <row r="226" spans="1:6" x14ac:dyDescent="0.3">
      <c r="A226" s="2"/>
      <c r="B226" s="3"/>
      <c r="C226" s="3"/>
      <c r="D226" s="1"/>
      <c r="E226" s="2"/>
      <c r="F2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22A9-EC2C-4118-9F9D-B0997E957BBC}">
  <dimension ref="A1:F106"/>
  <sheetViews>
    <sheetView workbookViewId="0">
      <selection activeCell="D9" sqref="D9"/>
    </sheetView>
  </sheetViews>
  <sheetFormatPr defaultColWidth="8.88671875" defaultRowHeight="14.4" x14ac:dyDescent="0.3"/>
  <cols>
    <col min="1" max="1" width="14.33203125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2" t="s">
        <v>6</v>
      </c>
      <c r="B2" s="3">
        <v>32.219580999999998</v>
      </c>
      <c r="C2" s="3">
        <v>-81.172324000000003</v>
      </c>
      <c r="D2" s="5">
        <f>15425/8</f>
        <v>1928.125</v>
      </c>
      <c r="E2" s="2" t="s">
        <v>7</v>
      </c>
      <c r="F2" s="1" t="s">
        <v>8</v>
      </c>
    </row>
    <row r="3" spans="1:6" x14ac:dyDescent="0.3">
      <c r="A3" s="1" t="s">
        <v>13</v>
      </c>
      <c r="B3" s="1">
        <v>32.09225</v>
      </c>
      <c r="C3" s="1">
        <v>-81.196349999999995</v>
      </c>
      <c r="D3" s="5">
        <v>3423</v>
      </c>
      <c r="E3" s="1" t="s">
        <v>7</v>
      </c>
      <c r="F3" s="1" t="s">
        <v>8</v>
      </c>
    </row>
    <row r="4" spans="1:6" x14ac:dyDescent="0.3">
      <c r="A4" s="2" t="s">
        <v>6</v>
      </c>
      <c r="B4" s="3">
        <v>31.477450000000001</v>
      </c>
      <c r="C4" s="3">
        <v>-81.446815999999998</v>
      </c>
      <c r="D4" s="5">
        <f t="shared" ref="D4:D9" si="0">15425/8</f>
        <v>1928.125</v>
      </c>
      <c r="E4" s="2" t="s">
        <v>7</v>
      </c>
      <c r="F4" s="1" t="s">
        <v>8</v>
      </c>
    </row>
    <row r="5" spans="1:6" x14ac:dyDescent="0.3">
      <c r="A5" s="2" t="s">
        <v>21</v>
      </c>
      <c r="B5" s="3">
        <v>31.280127</v>
      </c>
      <c r="C5" s="3">
        <v>-81.490369999999999</v>
      </c>
      <c r="D5" s="5">
        <f t="shared" si="0"/>
        <v>1928.125</v>
      </c>
      <c r="E5" s="2" t="s">
        <v>7</v>
      </c>
      <c r="F5" s="1" t="s">
        <v>8</v>
      </c>
    </row>
    <row r="6" spans="1:6" x14ac:dyDescent="0.3">
      <c r="A6" s="1" t="s">
        <v>13</v>
      </c>
      <c r="B6" s="1">
        <v>31.231809999999999</v>
      </c>
      <c r="C6" s="1">
        <v>-81.498059999999995</v>
      </c>
      <c r="D6" s="5">
        <f t="shared" si="0"/>
        <v>1928.125</v>
      </c>
      <c r="E6" s="1" t="s">
        <v>7</v>
      </c>
      <c r="F6" s="1" t="s">
        <v>8</v>
      </c>
    </row>
    <row r="7" spans="1:6" x14ac:dyDescent="0.3">
      <c r="A7" s="1" t="s">
        <v>13</v>
      </c>
      <c r="B7" s="1">
        <v>31.219480000000001</v>
      </c>
      <c r="C7" s="1">
        <v>-81.518739999999994</v>
      </c>
      <c r="D7" s="5">
        <f t="shared" si="0"/>
        <v>1928.125</v>
      </c>
      <c r="E7" s="1" t="s">
        <v>7</v>
      </c>
      <c r="F7" s="1" t="s">
        <v>8</v>
      </c>
    </row>
    <row r="8" spans="1:6" x14ac:dyDescent="0.3">
      <c r="A8" s="1" t="s">
        <v>13</v>
      </c>
      <c r="B8" s="1">
        <v>30.77919</v>
      </c>
      <c r="C8" s="1">
        <v>-81.622380000000007</v>
      </c>
      <c r="D8" s="5">
        <f t="shared" si="0"/>
        <v>1928.125</v>
      </c>
      <c r="E8" s="1" t="s">
        <v>7</v>
      </c>
      <c r="F8" s="1" t="s">
        <v>8</v>
      </c>
    </row>
    <row r="9" spans="1:6" x14ac:dyDescent="0.3">
      <c r="A9" s="2" t="s">
        <v>9</v>
      </c>
      <c r="B9" s="3">
        <v>30.753822</v>
      </c>
      <c r="C9" s="3">
        <v>-81.650143</v>
      </c>
      <c r="D9" s="5">
        <f t="shared" si="0"/>
        <v>1928.125</v>
      </c>
      <c r="E9" s="2" t="s">
        <v>7</v>
      </c>
      <c r="F9" s="1" t="s">
        <v>8</v>
      </c>
    </row>
    <row r="10" spans="1:6" x14ac:dyDescent="0.3">
      <c r="A10" s="2" t="s">
        <v>9</v>
      </c>
      <c r="B10" s="3">
        <v>34.948822999999997</v>
      </c>
      <c r="C10" s="3">
        <v>-85.176829999999995</v>
      </c>
      <c r="D10" s="2">
        <f t="shared" ref="D10:D33" si="1">ROUNDUP(22446/24, 0)</f>
        <v>936</v>
      </c>
      <c r="E10" s="2" t="s">
        <v>49</v>
      </c>
      <c r="F10" s="1" t="s">
        <v>8</v>
      </c>
    </row>
    <row r="11" spans="1:6" x14ac:dyDescent="0.3">
      <c r="A11" s="1" t="s">
        <v>13</v>
      </c>
      <c r="B11" s="1">
        <v>34.927729999999997</v>
      </c>
      <c r="C11" s="1">
        <v>-85.154750000000007</v>
      </c>
      <c r="D11" s="2">
        <f t="shared" si="1"/>
        <v>936</v>
      </c>
      <c r="E11" s="1" t="s">
        <v>49</v>
      </c>
      <c r="F11" s="1" t="s">
        <v>8</v>
      </c>
    </row>
    <row r="12" spans="1:6" x14ac:dyDescent="0.3">
      <c r="A12" s="2" t="s">
        <v>6</v>
      </c>
      <c r="B12" s="3">
        <v>34.879550000000002</v>
      </c>
      <c r="C12" s="3">
        <v>-85.048340999999994</v>
      </c>
      <c r="D12" s="2">
        <f t="shared" si="1"/>
        <v>936</v>
      </c>
      <c r="E12" s="2" t="s">
        <v>49</v>
      </c>
      <c r="F12" s="1" t="s">
        <v>8</v>
      </c>
    </row>
    <row r="13" spans="1:6" x14ac:dyDescent="0.3">
      <c r="A13" s="1" t="s">
        <v>13</v>
      </c>
      <c r="B13" s="1">
        <v>34.795189999999998</v>
      </c>
      <c r="C13" s="1">
        <v>-84.995549999999994</v>
      </c>
      <c r="D13" s="2">
        <f t="shared" si="1"/>
        <v>936</v>
      </c>
      <c r="E13" s="1" t="s">
        <v>49</v>
      </c>
      <c r="F13" s="1" t="s">
        <v>8</v>
      </c>
    </row>
    <row r="14" spans="1:6" x14ac:dyDescent="0.3">
      <c r="A14" s="1" t="s">
        <v>13</v>
      </c>
      <c r="B14" s="1">
        <v>34.759929999999997</v>
      </c>
      <c r="C14" s="1">
        <v>-84.996780000000001</v>
      </c>
      <c r="D14" s="2">
        <f t="shared" si="1"/>
        <v>936</v>
      </c>
      <c r="E14" s="1" t="s">
        <v>49</v>
      </c>
      <c r="F14" s="1" t="s">
        <v>8</v>
      </c>
    </row>
    <row r="15" spans="1:6" x14ac:dyDescent="0.3">
      <c r="A15" s="2" t="s">
        <v>21</v>
      </c>
      <c r="B15" s="3">
        <v>34.563501000000002</v>
      </c>
      <c r="C15" s="3">
        <v>-84.944229000000007</v>
      </c>
      <c r="D15" s="2">
        <f t="shared" si="1"/>
        <v>936</v>
      </c>
      <c r="E15" s="2" t="s">
        <v>49</v>
      </c>
      <c r="F15" s="1" t="s">
        <v>8</v>
      </c>
    </row>
    <row r="16" spans="1:6" x14ac:dyDescent="0.3">
      <c r="A16" s="1" t="s">
        <v>13</v>
      </c>
      <c r="B16" s="1">
        <v>34.47296</v>
      </c>
      <c r="C16" s="1">
        <v>-84.924059999999997</v>
      </c>
      <c r="D16" s="2">
        <f t="shared" si="1"/>
        <v>936</v>
      </c>
      <c r="E16" s="1" t="s">
        <v>49</v>
      </c>
      <c r="F16" s="1" t="s">
        <v>8</v>
      </c>
    </row>
    <row r="17" spans="1:6" x14ac:dyDescent="0.3">
      <c r="A17" s="2" t="s">
        <v>21</v>
      </c>
      <c r="B17" s="3">
        <v>34.409360999999997</v>
      </c>
      <c r="C17" s="3">
        <v>-84.917373999999995</v>
      </c>
      <c r="D17" s="2">
        <f t="shared" si="1"/>
        <v>936</v>
      </c>
      <c r="E17" s="2" t="s">
        <v>49</v>
      </c>
      <c r="F17" s="1" t="s">
        <v>8</v>
      </c>
    </row>
    <row r="18" spans="1:6" x14ac:dyDescent="0.3">
      <c r="A18" s="1" t="s">
        <v>13</v>
      </c>
      <c r="B18" s="1">
        <v>34.376249999999999</v>
      </c>
      <c r="C18" s="1">
        <v>-84.91574</v>
      </c>
      <c r="D18" s="2">
        <f t="shared" si="1"/>
        <v>936</v>
      </c>
      <c r="E18" s="1" t="s">
        <v>49</v>
      </c>
      <c r="F18" s="1" t="s">
        <v>8</v>
      </c>
    </row>
    <row r="19" spans="1:6" x14ac:dyDescent="0.3">
      <c r="A19" s="1" t="s">
        <v>13</v>
      </c>
      <c r="B19" s="1">
        <v>34.174030000000002</v>
      </c>
      <c r="C19" s="1">
        <v>-84.764489999999995</v>
      </c>
      <c r="D19" s="2">
        <f t="shared" si="1"/>
        <v>936</v>
      </c>
      <c r="E19" s="1" t="s">
        <v>49</v>
      </c>
      <c r="F19" s="1" t="s">
        <v>8</v>
      </c>
    </row>
    <row r="20" spans="1:6" x14ac:dyDescent="0.3">
      <c r="A20" s="1" t="s">
        <v>13</v>
      </c>
      <c r="B20" s="1">
        <v>34.1417</v>
      </c>
      <c r="C20" s="1">
        <v>-84.743960000000001</v>
      </c>
      <c r="D20" s="2">
        <f t="shared" si="1"/>
        <v>936</v>
      </c>
      <c r="E20" s="1" t="s">
        <v>49</v>
      </c>
      <c r="F20" s="1" t="s">
        <v>8</v>
      </c>
    </row>
    <row r="21" spans="1:6" x14ac:dyDescent="0.3">
      <c r="A21" s="1" t="s">
        <v>13</v>
      </c>
      <c r="B21" s="1">
        <v>34.084299999999999</v>
      </c>
      <c r="C21" s="1">
        <v>-84.554429999999996</v>
      </c>
      <c r="D21" s="2">
        <f t="shared" si="1"/>
        <v>936</v>
      </c>
      <c r="E21" s="1" t="s">
        <v>49</v>
      </c>
      <c r="F21" s="1" t="s">
        <v>8</v>
      </c>
    </row>
    <row r="22" spans="1:6" x14ac:dyDescent="0.3">
      <c r="A22" s="1" t="s">
        <v>13</v>
      </c>
      <c r="B22" s="1">
        <v>34.082650000000001</v>
      </c>
      <c r="C22" s="1">
        <v>-84.6554</v>
      </c>
      <c r="D22" s="2">
        <f t="shared" si="1"/>
        <v>936</v>
      </c>
      <c r="E22" s="1" t="s">
        <v>49</v>
      </c>
      <c r="F22" s="1" t="s">
        <v>8</v>
      </c>
    </row>
    <row r="23" spans="1:6" x14ac:dyDescent="0.3">
      <c r="A23" s="1" t="s">
        <v>13</v>
      </c>
      <c r="B23" s="1">
        <v>34.074260000000002</v>
      </c>
      <c r="C23" s="1">
        <v>-84.677430000000001</v>
      </c>
      <c r="D23" s="2">
        <f t="shared" si="1"/>
        <v>936</v>
      </c>
      <c r="E23" s="1" t="s">
        <v>49</v>
      </c>
      <c r="F23" s="1" t="s">
        <v>8</v>
      </c>
    </row>
    <row r="24" spans="1:6" x14ac:dyDescent="0.3">
      <c r="A24" s="1" t="s">
        <v>13</v>
      </c>
      <c r="B24" s="1">
        <v>34.05903</v>
      </c>
      <c r="C24" s="1">
        <v>-84.591939999999994</v>
      </c>
      <c r="D24" s="2">
        <f t="shared" si="1"/>
        <v>936</v>
      </c>
      <c r="E24" s="1" t="s">
        <v>49</v>
      </c>
      <c r="F24" s="1" t="s">
        <v>8</v>
      </c>
    </row>
    <row r="25" spans="1:6" x14ac:dyDescent="0.3">
      <c r="A25" s="1" t="s">
        <v>13</v>
      </c>
      <c r="B25" s="1">
        <v>34.057169999999999</v>
      </c>
      <c r="C25" s="1">
        <v>-84.558120000000002</v>
      </c>
      <c r="D25" s="2">
        <f t="shared" si="1"/>
        <v>936</v>
      </c>
      <c r="E25" s="1" t="s">
        <v>49</v>
      </c>
      <c r="F25" s="1" t="s">
        <v>8</v>
      </c>
    </row>
    <row r="26" spans="1:6" x14ac:dyDescent="0.3">
      <c r="A26" s="1" t="s">
        <v>13</v>
      </c>
      <c r="B26" s="1">
        <v>34.007620000000003</v>
      </c>
      <c r="C26" s="1">
        <v>-84.527739999999994</v>
      </c>
      <c r="D26" s="2">
        <f t="shared" si="1"/>
        <v>936</v>
      </c>
      <c r="E26" s="1" t="s">
        <v>49</v>
      </c>
      <c r="F26" s="1" t="s">
        <v>8</v>
      </c>
    </row>
    <row r="27" spans="1:6" x14ac:dyDescent="0.3">
      <c r="A27" s="1" t="s">
        <v>13</v>
      </c>
      <c r="B27" s="1">
        <v>33.99297</v>
      </c>
      <c r="C27" s="1">
        <v>-84.597809999999996</v>
      </c>
      <c r="D27" s="2">
        <f t="shared" si="1"/>
        <v>936</v>
      </c>
      <c r="E27" s="1" t="s">
        <v>49</v>
      </c>
      <c r="F27" s="1" t="s">
        <v>8</v>
      </c>
    </row>
    <row r="28" spans="1:6" x14ac:dyDescent="0.3">
      <c r="A28" s="1" t="s">
        <v>13</v>
      </c>
      <c r="B28" s="1">
        <v>33.979779999999998</v>
      </c>
      <c r="C28" s="1">
        <v>-84.461979999999997</v>
      </c>
      <c r="D28" s="2">
        <f t="shared" si="1"/>
        <v>936</v>
      </c>
      <c r="E28" s="1" t="s">
        <v>49</v>
      </c>
      <c r="F28" s="1" t="s">
        <v>8</v>
      </c>
    </row>
    <row r="29" spans="1:6" x14ac:dyDescent="0.3">
      <c r="A29" s="1" t="s">
        <v>13</v>
      </c>
      <c r="B29" s="1">
        <v>33.972479999999997</v>
      </c>
      <c r="C29" s="1">
        <v>-84.550460000000001</v>
      </c>
      <c r="D29" s="2">
        <f t="shared" si="1"/>
        <v>936</v>
      </c>
      <c r="E29" s="1" t="s">
        <v>49</v>
      </c>
      <c r="F29" s="1" t="s">
        <v>8</v>
      </c>
    </row>
    <row r="30" spans="1:6" x14ac:dyDescent="0.3">
      <c r="A30" s="1" t="s">
        <v>13</v>
      </c>
      <c r="B30" s="1">
        <v>33.936140000000002</v>
      </c>
      <c r="C30" s="1">
        <v>-84.554990000000004</v>
      </c>
      <c r="D30" s="2">
        <f t="shared" si="1"/>
        <v>936</v>
      </c>
      <c r="E30" s="1" t="s">
        <v>49</v>
      </c>
      <c r="F30" s="1" t="s">
        <v>8</v>
      </c>
    </row>
    <row r="31" spans="1:6" x14ac:dyDescent="0.3">
      <c r="A31" s="1" t="s">
        <v>13</v>
      </c>
      <c r="B31" s="1">
        <v>33.921849999999999</v>
      </c>
      <c r="C31" s="1">
        <v>-84.481449999999995</v>
      </c>
      <c r="D31" s="2">
        <f t="shared" si="1"/>
        <v>936</v>
      </c>
      <c r="E31" s="1" t="s">
        <v>49</v>
      </c>
      <c r="F31" s="1" t="s">
        <v>8</v>
      </c>
    </row>
    <row r="32" spans="1:6" x14ac:dyDescent="0.3">
      <c r="A32" s="1" t="s">
        <v>13</v>
      </c>
      <c r="B32" s="1">
        <v>33.895699999999998</v>
      </c>
      <c r="C32" s="1">
        <v>-84.575050000000005</v>
      </c>
      <c r="D32" s="2">
        <f t="shared" si="1"/>
        <v>936</v>
      </c>
      <c r="E32" s="1" t="s">
        <v>49</v>
      </c>
      <c r="F32" s="1" t="s">
        <v>8</v>
      </c>
    </row>
    <row r="33" spans="1:6" x14ac:dyDescent="0.3">
      <c r="A33" s="1" t="s">
        <v>13</v>
      </c>
      <c r="B33" s="1">
        <v>33.882660000000001</v>
      </c>
      <c r="C33" s="1">
        <v>-84.479849999999999</v>
      </c>
      <c r="D33" s="2">
        <f t="shared" si="1"/>
        <v>936</v>
      </c>
      <c r="E33" s="1" t="s">
        <v>49</v>
      </c>
      <c r="F33" s="1" t="s">
        <v>8</v>
      </c>
    </row>
    <row r="34" spans="1:6" x14ac:dyDescent="0.3">
      <c r="A34" s="1" t="s">
        <v>13</v>
      </c>
      <c r="B34" s="1">
        <v>33.820639999999997</v>
      </c>
      <c r="C34" s="1">
        <v>-84.455179999999999</v>
      </c>
      <c r="D34" s="2">
        <f>27900/9</f>
        <v>3100</v>
      </c>
      <c r="E34" s="1" t="s">
        <v>49</v>
      </c>
      <c r="F34" s="1" t="s">
        <v>8</v>
      </c>
    </row>
    <row r="35" spans="1:6" x14ac:dyDescent="0.3">
      <c r="A35" s="1" t="s">
        <v>13</v>
      </c>
      <c r="B35" s="1">
        <v>33.620339999999999</v>
      </c>
      <c r="C35" s="1">
        <v>-84.384510000000006</v>
      </c>
      <c r="D35" s="2">
        <f t="shared" ref="D35:D42" si="2">27900/9</f>
        <v>3100</v>
      </c>
      <c r="E35" s="1" t="s">
        <v>49</v>
      </c>
      <c r="F35" s="1" t="s">
        <v>8</v>
      </c>
    </row>
    <row r="36" spans="1:6" x14ac:dyDescent="0.3">
      <c r="A36" s="1" t="s">
        <v>13</v>
      </c>
      <c r="B36" s="1">
        <v>33.48366</v>
      </c>
      <c r="C36" s="1">
        <v>-84.211749999999995</v>
      </c>
      <c r="D36" s="2">
        <f t="shared" si="2"/>
        <v>3100</v>
      </c>
      <c r="E36" s="1" t="s">
        <v>49</v>
      </c>
      <c r="F36" s="1" t="s">
        <v>8</v>
      </c>
    </row>
    <row r="37" spans="1:6" x14ac:dyDescent="0.3">
      <c r="A37" s="1" t="s">
        <v>13</v>
      </c>
      <c r="B37" s="1">
        <v>33.460279999999997</v>
      </c>
      <c r="C37" s="1">
        <v>-84.195989999999995</v>
      </c>
      <c r="D37" s="2">
        <f t="shared" si="2"/>
        <v>3100</v>
      </c>
      <c r="E37" s="1" t="s">
        <v>49</v>
      </c>
      <c r="F37" s="1" t="s">
        <v>8</v>
      </c>
    </row>
    <row r="38" spans="1:6" x14ac:dyDescent="0.3">
      <c r="A38" s="1" t="s">
        <v>13</v>
      </c>
      <c r="B38" s="1">
        <v>33.430390000000003</v>
      </c>
      <c r="C38" s="1">
        <v>-84.178319999999999</v>
      </c>
      <c r="D38" s="2">
        <f t="shared" si="2"/>
        <v>3100</v>
      </c>
      <c r="E38" s="1" t="s">
        <v>49</v>
      </c>
      <c r="F38" s="1" t="s">
        <v>8</v>
      </c>
    </row>
    <row r="39" spans="1:6" x14ac:dyDescent="0.3">
      <c r="A39" s="1" t="s">
        <v>13</v>
      </c>
      <c r="B39" s="1">
        <v>33.425269999999998</v>
      </c>
      <c r="C39" s="1">
        <v>-84.184119999999993</v>
      </c>
      <c r="D39" s="2">
        <f t="shared" si="2"/>
        <v>3100</v>
      </c>
      <c r="E39" s="1" t="s">
        <v>49</v>
      </c>
      <c r="F39" s="1" t="s">
        <v>8</v>
      </c>
    </row>
    <row r="40" spans="1:6" x14ac:dyDescent="0.3">
      <c r="A40" s="1" t="s">
        <v>13</v>
      </c>
      <c r="B40" s="1">
        <v>33.413690000000003</v>
      </c>
      <c r="C40" s="1">
        <v>-84.158100000000005</v>
      </c>
      <c r="D40" s="2">
        <f t="shared" si="2"/>
        <v>3100</v>
      </c>
      <c r="E40" s="1" t="s">
        <v>49</v>
      </c>
      <c r="F40" s="1" t="s">
        <v>8</v>
      </c>
    </row>
    <row r="41" spans="1:6" x14ac:dyDescent="0.3">
      <c r="A41" s="2" t="s">
        <v>6</v>
      </c>
      <c r="B41" s="3">
        <v>33.070383999999997</v>
      </c>
      <c r="C41" s="3">
        <v>-83.973332999999997</v>
      </c>
      <c r="D41" s="2">
        <f t="shared" si="2"/>
        <v>3100</v>
      </c>
      <c r="E41" s="2" t="s">
        <v>49</v>
      </c>
      <c r="F41" s="1" t="s">
        <v>8</v>
      </c>
    </row>
    <row r="42" spans="1:6" x14ac:dyDescent="0.3">
      <c r="A42" s="2" t="s">
        <v>21</v>
      </c>
      <c r="B42" s="3">
        <v>32.972315999999999</v>
      </c>
      <c r="C42" s="3">
        <v>-83.828193999999996</v>
      </c>
      <c r="D42" s="2">
        <f t="shared" si="2"/>
        <v>3100</v>
      </c>
      <c r="E42" s="2" t="s">
        <v>49</v>
      </c>
      <c r="F42" s="1" t="s">
        <v>8</v>
      </c>
    </row>
    <row r="43" spans="1:6" x14ac:dyDescent="0.3">
      <c r="A43" s="2" t="s">
        <v>21</v>
      </c>
      <c r="B43" s="3">
        <v>32.209977000000002</v>
      </c>
      <c r="C43" s="3">
        <v>-83.747018999999995</v>
      </c>
      <c r="D43" s="1">
        <f>15390/10</f>
        <v>1539</v>
      </c>
      <c r="E43" s="2" t="s">
        <v>49</v>
      </c>
      <c r="F43" s="1" t="s">
        <v>8</v>
      </c>
    </row>
    <row r="44" spans="1:6" x14ac:dyDescent="0.3">
      <c r="A44" s="2" t="s">
        <v>21</v>
      </c>
      <c r="B44" s="3">
        <v>32.073737999999999</v>
      </c>
      <c r="C44" s="3">
        <v>-83.762039999999999</v>
      </c>
      <c r="D44" s="1">
        <f t="shared" ref="D44:D52" si="3">15390/10</f>
        <v>1539</v>
      </c>
      <c r="E44" s="2" t="s">
        <v>49</v>
      </c>
      <c r="F44" s="1" t="s">
        <v>8</v>
      </c>
    </row>
    <row r="45" spans="1:6" x14ac:dyDescent="0.3">
      <c r="A45" s="2" t="s">
        <v>21</v>
      </c>
      <c r="B45" s="3">
        <v>31.750841000000001</v>
      </c>
      <c r="C45" s="3">
        <v>-83.661863999999994</v>
      </c>
      <c r="D45" s="1">
        <f t="shared" si="3"/>
        <v>1539</v>
      </c>
      <c r="E45" s="2" t="s">
        <v>49</v>
      </c>
      <c r="F45" s="1" t="s">
        <v>8</v>
      </c>
    </row>
    <row r="46" spans="1:6" x14ac:dyDescent="0.3">
      <c r="A46" s="2" t="s">
        <v>21</v>
      </c>
      <c r="B46" s="3">
        <v>31.634428</v>
      </c>
      <c r="C46" s="3">
        <v>-83.584359000000006</v>
      </c>
      <c r="D46" s="1">
        <f t="shared" si="3"/>
        <v>1539</v>
      </c>
      <c r="E46" s="2" t="s">
        <v>49</v>
      </c>
      <c r="F46" s="1" t="s">
        <v>8</v>
      </c>
    </row>
    <row r="47" spans="1:6" x14ac:dyDescent="0.3">
      <c r="A47" s="2" t="s">
        <v>21</v>
      </c>
      <c r="B47" s="3">
        <v>31.261108</v>
      </c>
      <c r="C47" s="3">
        <v>-83.471535000000003</v>
      </c>
      <c r="D47" s="1">
        <f t="shared" si="3"/>
        <v>1539</v>
      </c>
      <c r="E47" s="2" t="s">
        <v>49</v>
      </c>
      <c r="F47" s="1" t="s">
        <v>8</v>
      </c>
    </row>
    <row r="48" spans="1:6" x14ac:dyDescent="0.3">
      <c r="A48" s="2" t="s">
        <v>21</v>
      </c>
      <c r="B48" s="3">
        <v>31.243507000000001</v>
      </c>
      <c r="C48" s="3">
        <v>-83.465355000000002</v>
      </c>
      <c r="D48" s="1">
        <f t="shared" si="3"/>
        <v>1539</v>
      </c>
      <c r="E48" s="2" t="s">
        <v>49</v>
      </c>
      <c r="F48" s="1" t="s">
        <v>8</v>
      </c>
    </row>
    <row r="49" spans="1:6" x14ac:dyDescent="0.3">
      <c r="A49" s="2" t="s">
        <v>6</v>
      </c>
      <c r="B49" s="3">
        <v>30.918305</v>
      </c>
      <c r="C49" s="3">
        <v>-83.365758999999997</v>
      </c>
      <c r="D49" s="1">
        <f t="shared" si="3"/>
        <v>1539</v>
      </c>
      <c r="E49" s="2" t="s">
        <v>49</v>
      </c>
      <c r="F49" s="1" t="s">
        <v>8</v>
      </c>
    </row>
    <row r="50" spans="1:6" x14ac:dyDescent="0.3">
      <c r="A50" s="1" t="s">
        <v>13</v>
      </c>
      <c r="B50" s="1">
        <v>30.894020000000001</v>
      </c>
      <c r="C50" s="1">
        <v>-83.349000000000004</v>
      </c>
      <c r="D50" s="1">
        <f t="shared" si="3"/>
        <v>1539</v>
      </c>
      <c r="E50" s="1" t="s">
        <v>49</v>
      </c>
      <c r="F50" s="1" t="s">
        <v>8</v>
      </c>
    </row>
    <row r="51" spans="1:6" x14ac:dyDescent="0.3">
      <c r="A51" s="1" t="s">
        <v>13</v>
      </c>
      <c r="B51" s="1">
        <v>30.817730000000001</v>
      </c>
      <c r="C51" s="1">
        <v>-83.319119999999998</v>
      </c>
      <c r="D51" s="1">
        <f t="shared" si="3"/>
        <v>1539</v>
      </c>
      <c r="E51" s="1" t="s">
        <v>49</v>
      </c>
      <c r="F51" s="1" t="s">
        <v>8</v>
      </c>
    </row>
    <row r="52" spans="1:6" x14ac:dyDescent="0.3">
      <c r="A52" s="2" t="s">
        <v>9</v>
      </c>
      <c r="B52" s="3">
        <v>30.665693000000001</v>
      </c>
      <c r="C52" s="3">
        <v>-83.209053999999995</v>
      </c>
      <c r="D52" s="1">
        <f t="shared" si="3"/>
        <v>1539</v>
      </c>
      <c r="E52" s="2" t="s">
        <v>49</v>
      </c>
      <c r="F52" s="1" t="s">
        <v>8</v>
      </c>
    </row>
    <row r="53" spans="1:6" x14ac:dyDescent="0.3">
      <c r="A53" s="2" t="s">
        <v>21</v>
      </c>
      <c r="B53" s="3">
        <v>32.508495000000003</v>
      </c>
      <c r="C53" s="3">
        <v>-83.048249999999996</v>
      </c>
      <c r="D53" s="2">
        <f>8970/6</f>
        <v>1495</v>
      </c>
      <c r="E53" s="2" t="s">
        <v>34</v>
      </c>
      <c r="F53" s="1" t="s">
        <v>8</v>
      </c>
    </row>
    <row r="54" spans="1:6" x14ac:dyDescent="0.3">
      <c r="A54" s="2" t="s">
        <v>21</v>
      </c>
      <c r="B54" s="3">
        <v>32.505690000000001</v>
      </c>
      <c r="C54" s="3">
        <v>-83.017962999999995</v>
      </c>
      <c r="D54" s="2">
        <f t="shared" ref="D54:D57" si="4">8970/6</f>
        <v>1495</v>
      </c>
      <c r="E54" s="2" t="s">
        <v>34</v>
      </c>
      <c r="F54" s="1" t="s">
        <v>8</v>
      </c>
    </row>
    <row r="55" spans="1:6" x14ac:dyDescent="0.3">
      <c r="A55" s="1" t="s">
        <v>13</v>
      </c>
      <c r="B55" s="1">
        <v>32.484335877252697</v>
      </c>
      <c r="C55" s="1">
        <v>-82.936004647322406</v>
      </c>
      <c r="D55" s="2">
        <f t="shared" si="4"/>
        <v>1495</v>
      </c>
      <c r="E55" s="1" t="s">
        <v>34</v>
      </c>
      <c r="F55" s="1" t="s">
        <v>8</v>
      </c>
    </row>
    <row r="56" spans="1:6" x14ac:dyDescent="0.3">
      <c r="A56" s="1" t="s">
        <v>13</v>
      </c>
      <c r="B56" s="1">
        <v>32.373220000000003</v>
      </c>
      <c r="C56" s="1">
        <v>-82.072730000000007</v>
      </c>
      <c r="D56" s="2">
        <f t="shared" si="4"/>
        <v>1495</v>
      </c>
      <c r="E56" s="1" t="s">
        <v>34</v>
      </c>
      <c r="F56" s="1" t="s">
        <v>8</v>
      </c>
    </row>
    <row r="57" spans="1:6" x14ac:dyDescent="0.3">
      <c r="A57" s="2" t="s">
        <v>6</v>
      </c>
      <c r="B57" s="3">
        <v>32.167738</v>
      </c>
      <c r="C57" s="3">
        <v>-81.443324000000004</v>
      </c>
      <c r="D57" s="2">
        <f t="shared" si="4"/>
        <v>1495</v>
      </c>
      <c r="E57" s="2" t="s">
        <v>34</v>
      </c>
      <c r="F57" s="1" t="s">
        <v>8</v>
      </c>
    </row>
    <row r="58" spans="1:6" x14ac:dyDescent="0.3">
      <c r="A58" s="2" t="s">
        <v>9</v>
      </c>
      <c r="B58" s="3">
        <v>33.677889</v>
      </c>
      <c r="C58" s="3">
        <v>-85.320263999999995</v>
      </c>
      <c r="D58" s="2">
        <f>ROUND(16150/13, 0)</f>
        <v>1242</v>
      </c>
      <c r="E58" s="2" t="s">
        <v>111</v>
      </c>
      <c r="F58" s="1" t="s">
        <v>8</v>
      </c>
    </row>
    <row r="59" spans="1:6" x14ac:dyDescent="0.3">
      <c r="A59" s="2" t="s">
        <v>6</v>
      </c>
      <c r="B59" s="3">
        <v>33.696458</v>
      </c>
      <c r="C59" s="3">
        <v>-85.085881000000001</v>
      </c>
      <c r="D59" s="2">
        <f t="shared" ref="D59:D70" si="5">ROUND(16150/13, 0)</f>
        <v>1242</v>
      </c>
      <c r="E59" s="2" t="s">
        <v>111</v>
      </c>
      <c r="F59" s="1" t="s">
        <v>8</v>
      </c>
    </row>
    <row r="60" spans="1:6" x14ac:dyDescent="0.3">
      <c r="A60" s="1" t="s">
        <v>13</v>
      </c>
      <c r="B60" s="1">
        <v>33.728340000000003</v>
      </c>
      <c r="C60" s="1">
        <v>-84.940799999999996</v>
      </c>
      <c r="D60" s="2">
        <f t="shared" si="5"/>
        <v>1242</v>
      </c>
      <c r="E60" s="1" t="s">
        <v>111</v>
      </c>
      <c r="F60" s="1" t="s">
        <v>8</v>
      </c>
    </row>
    <row r="61" spans="1:6" x14ac:dyDescent="0.3">
      <c r="A61" s="1" t="s">
        <v>13</v>
      </c>
      <c r="B61" s="1">
        <v>33.729819999999997</v>
      </c>
      <c r="C61" s="1">
        <v>-84.761279999999999</v>
      </c>
      <c r="D61" s="2">
        <f t="shared" si="5"/>
        <v>1242</v>
      </c>
      <c r="E61" s="1" t="s">
        <v>111</v>
      </c>
      <c r="F61" s="1" t="s">
        <v>8</v>
      </c>
    </row>
    <row r="62" spans="1:6" x14ac:dyDescent="0.3">
      <c r="A62" s="1" t="s">
        <v>13</v>
      </c>
      <c r="B62" s="1">
        <v>33.751860000000001</v>
      </c>
      <c r="C62" s="1">
        <v>-84.721040000000002</v>
      </c>
      <c r="D62" s="2">
        <f t="shared" si="5"/>
        <v>1242</v>
      </c>
      <c r="E62" s="1" t="s">
        <v>111</v>
      </c>
      <c r="F62" s="1" t="s">
        <v>8</v>
      </c>
    </row>
    <row r="63" spans="1:6" x14ac:dyDescent="0.3">
      <c r="A63" s="1" t="s">
        <v>13</v>
      </c>
      <c r="B63" s="1">
        <v>33.731769999999997</v>
      </c>
      <c r="C63" s="1">
        <v>-84.669449999999998</v>
      </c>
      <c r="D63" s="2">
        <f t="shared" si="5"/>
        <v>1242</v>
      </c>
      <c r="E63" s="1" t="s">
        <v>111</v>
      </c>
      <c r="F63" s="1" t="s">
        <v>8</v>
      </c>
    </row>
    <row r="64" spans="1:6" x14ac:dyDescent="0.3">
      <c r="A64" s="2" t="s">
        <v>6</v>
      </c>
      <c r="B64" s="3">
        <v>33.772841999999997</v>
      </c>
      <c r="C64" s="3">
        <v>-84.630409999999998</v>
      </c>
      <c r="D64" s="2">
        <f t="shared" si="5"/>
        <v>1242</v>
      </c>
      <c r="E64" s="2" t="s">
        <v>111</v>
      </c>
      <c r="F64" s="1" t="s">
        <v>8</v>
      </c>
    </row>
    <row r="65" spans="1:6" x14ac:dyDescent="0.3">
      <c r="A65" s="1" t="s">
        <v>13</v>
      </c>
      <c r="B65" s="1">
        <v>33.787950000000002</v>
      </c>
      <c r="C65" s="1">
        <v>-84.617840000000001</v>
      </c>
      <c r="D65" s="2">
        <f t="shared" si="5"/>
        <v>1242</v>
      </c>
      <c r="E65" s="1" t="s">
        <v>111</v>
      </c>
      <c r="F65" s="1" t="s">
        <v>8</v>
      </c>
    </row>
    <row r="66" spans="1:6" x14ac:dyDescent="0.3">
      <c r="A66" s="1" t="s">
        <v>13</v>
      </c>
      <c r="B66" s="1">
        <v>33.77084</v>
      </c>
      <c r="C66" s="1">
        <v>-84.603290000000001</v>
      </c>
      <c r="D66" s="2">
        <f t="shared" si="5"/>
        <v>1242</v>
      </c>
      <c r="E66" s="1" t="s">
        <v>111</v>
      </c>
      <c r="F66" s="1" t="s">
        <v>8</v>
      </c>
    </row>
    <row r="67" spans="1:6" x14ac:dyDescent="0.3">
      <c r="A67" s="1" t="s">
        <v>13</v>
      </c>
      <c r="B67" s="1">
        <v>33.78172</v>
      </c>
      <c r="C67" s="1">
        <v>-84.536090000000002</v>
      </c>
      <c r="D67" s="2">
        <f t="shared" si="5"/>
        <v>1242</v>
      </c>
      <c r="E67" s="1" t="s">
        <v>111</v>
      </c>
      <c r="F67" s="1" t="s">
        <v>8</v>
      </c>
    </row>
    <row r="68" spans="1:6" x14ac:dyDescent="0.3">
      <c r="A68" s="1" t="s">
        <v>13</v>
      </c>
      <c r="B68" s="1">
        <v>33.799889999999998</v>
      </c>
      <c r="C68" s="1">
        <v>-84.513140000000007</v>
      </c>
      <c r="D68" s="2">
        <f t="shared" si="5"/>
        <v>1242</v>
      </c>
      <c r="E68" s="1" t="s">
        <v>111</v>
      </c>
      <c r="F68" s="1" t="s">
        <v>8</v>
      </c>
    </row>
    <row r="69" spans="1:6" x14ac:dyDescent="0.3">
      <c r="A69" s="1" t="s">
        <v>13</v>
      </c>
      <c r="B69" s="1">
        <v>33.723379999999999</v>
      </c>
      <c r="C69" s="1">
        <v>-84.092200000000005</v>
      </c>
      <c r="D69" s="2">
        <f t="shared" si="5"/>
        <v>1242</v>
      </c>
      <c r="E69" s="1" t="s">
        <v>111</v>
      </c>
      <c r="F69" s="1" t="s">
        <v>8</v>
      </c>
    </row>
    <row r="70" spans="1:6" x14ac:dyDescent="0.3">
      <c r="A70" s="1" t="s">
        <v>13</v>
      </c>
      <c r="B70" s="1">
        <v>33.669710000000002</v>
      </c>
      <c r="C70" s="1">
        <v>-83.988140000000001</v>
      </c>
      <c r="D70" s="2">
        <f t="shared" si="5"/>
        <v>1242</v>
      </c>
      <c r="E70" s="1" t="s">
        <v>111</v>
      </c>
      <c r="F70" s="1" t="s">
        <v>8</v>
      </c>
    </row>
    <row r="71" spans="1:6" x14ac:dyDescent="0.3">
      <c r="A71" s="2" t="s">
        <v>21</v>
      </c>
      <c r="B71" s="3">
        <v>33.602528999999997</v>
      </c>
      <c r="C71" s="3">
        <v>-83.662497000000002</v>
      </c>
      <c r="D71" s="1">
        <f>ROUNDUP(11655/7,0)</f>
        <v>1665</v>
      </c>
      <c r="E71" s="2" t="s">
        <v>111</v>
      </c>
      <c r="F71" s="1" t="s">
        <v>8</v>
      </c>
    </row>
    <row r="72" spans="1:6" x14ac:dyDescent="0.3">
      <c r="A72" s="2" t="s">
        <v>21</v>
      </c>
      <c r="B72" s="3">
        <v>33.580410000000001</v>
      </c>
      <c r="C72" s="3">
        <v>-83.577353000000002</v>
      </c>
      <c r="D72" s="1">
        <f t="shared" ref="D72:D77" si="6">ROUNDUP(11655/7,0)</f>
        <v>1665</v>
      </c>
      <c r="E72" s="2" t="s">
        <v>111</v>
      </c>
      <c r="F72" s="1" t="s">
        <v>8</v>
      </c>
    </row>
    <row r="73" spans="1:6" x14ac:dyDescent="0.3">
      <c r="A73" s="1" t="s">
        <v>13</v>
      </c>
      <c r="B73" s="1">
        <v>33.540979174337103</v>
      </c>
      <c r="C73" s="1">
        <v>-83.208587693384601</v>
      </c>
      <c r="D73" s="1">
        <f t="shared" si="6"/>
        <v>1665</v>
      </c>
      <c r="E73" s="1" t="s">
        <v>111</v>
      </c>
      <c r="F73" s="1" t="s">
        <v>8</v>
      </c>
    </row>
    <row r="74" spans="1:6" x14ac:dyDescent="0.3">
      <c r="A74" s="2" t="s">
        <v>21</v>
      </c>
      <c r="B74" s="3">
        <v>33.498156000000002</v>
      </c>
      <c r="C74" s="3">
        <v>-82.335887999999997</v>
      </c>
      <c r="D74" s="1">
        <f t="shared" si="6"/>
        <v>1665</v>
      </c>
      <c r="E74" s="2" t="s">
        <v>111</v>
      </c>
      <c r="F74" s="1" t="s">
        <v>8</v>
      </c>
    </row>
    <row r="75" spans="1:6" x14ac:dyDescent="0.3">
      <c r="A75" s="2" t="s">
        <v>21</v>
      </c>
      <c r="B75" s="3">
        <v>33.499775</v>
      </c>
      <c r="C75" s="3">
        <v>-82.327861999999996</v>
      </c>
      <c r="D75" s="1">
        <f t="shared" si="6"/>
        <v>1665</v>
      </c>
      <c r="E75" s="2" t="s">
        <v>111</v>
      </c>
      <c r="F75" s="1" t="s">
        <v>8</v>
      </c>
    </row>
    <row r="76" spans="1:6" x14ac:dyDescent="0.3">
      <c r="A76" s="2" t="s">
        <v>6</v>
      </c>
      <c r="B76" s="3">
        <v>33.487222000000003</v>
      </c>
      <c r="C76" s="3">
        <v>-82.237219999999994</v>
      </c>
      <c r="D76" s="1">
        <f t="shared" si="6"/>
        <v>1665</v>
      </c>
      <c r="E76" s="2" t="s">
        <v>111</v>
      </c>
      <c r="F76" s="1" t="s">
        <v>8</v>
      </c>
    </row>
    <row r="77" spans="1:6" x14ac:dyDescent="0.3">
      <c r="A77" s="2" t="s">
        <v>9</v>
      </c>
      <c r="B77" s="3">
        <v>33.527371000000002</v>
      </c>
      <c r="C77" s="3">
        <v>-82.023228000000003</v>
      </c>
      <c r="D77" s="1">
        <f t="shared" si="6"/>
        <v>1665</v>
      </c>
      <c r="E77" s="2" t="s">
        <v>111</v>
      </c>
      <c r="F77" s="1" t="s">
        <v>8</v>
      </c>
    </row>
    <row r="78" spans="1:6" x14ac:dyDescent="0.3">
      <c r="A78" s="2" t="s">
        <v>9</v>
      </c>
      <c r="B78" s="3">
        <v>34.472890999999997</v>
      </c>
      <c r="C78" s="3">
        <v>-83.070609000000005</v>
      </c>
      <c r="D78" s="1">
        <f>ROUNDUP(14370/7, 0)</f>
        <v>2053</v>
      </c>
      <c r="E78" s="2" t="s">
        <v>95</v>
      </c>
      <c r="F78" s="1" t="s">
        <v>8</v>
      </c>
    </row>
    <row r="79" spans="1:6" x14ac:dyDescent="0.3">
      <c r="A79" s="2" t="s">
        <v>6</v>
      </c>
      <c r="B79" s="3">
        <v>34.427017999999997</v>
      </c>
      <c r="C79" s="3">
        <v>-83.156396999999998</v>
      </c>
      <c r="D79" s="1">
        <f t="shared" ref="D79:D84" si="7">ROUNDUP(14370/7, 0)</f>
        <v>2053</v>
      </c>
      <c r="E79" s="2" t="s">
        <v>95</v>
      </c>
      <c r="F79" s="1" t="s">
        <v>8</v>
      </c>
    </row>
    <row r="80" spans="1:6" x14ac:dyDescent="0.3">
      <c r="A80" s="2" t="s">
        <v>6</v>
      </c>
      <c r="B80" s="3">
        <v>34.415317999999999</v>
      </c>
      <c r="C80" s="3">
        <v>-83.179141999999999</v>
      </c>
      <c r="D80" s="1">
        <f t="shared" si="7"/>
        <v>2053</v>
      </c>
      <c r="E80" s="2" t="s">
        <v>95</v>
      </c>
      <c r="F80" s="1" t="s">
        <v>8</v>
      </c>
    </row>
    <row r="81" spans="1:6" x14ac:dyDescent="0.3">
      <c r="A81" s="2" t="s">
        <v>21</v>
      </c>
      <c r="B81" s="3">
        <v>34.351984000000002</v>
      </c>
      <c r="C81" s="3">
        <v>-83.304122000000007</v>
      </c>
      <c r="D81" s="1">
        <f t="shared" si="7"/>
        <v>2053</v>
      </c>
      <c r="E81" s="2" t="s">
        <v>95</v>
      </c>
      <c r="F81" s="1" t="s">
        <v>8</v>
      </c>
    </row>
    <row r="82" spans="1:6" x14ac:dyDescent="0.3">
      <c r="A82" s="1" t="s">
        <v>13</v>
      </c>
      <c r="B82" s="1">
        <v>34.256990000000002</v>
      </c>
      <c r="C82" s="1">
        <v>-83.464759999999998</v>
      </c>
      <c r="D82" s="1">
        <f t="shared" si="7"/>
        <v>2053</v>
      </c>
      <c r="E82" s="1" t="s">
        <v>95</v>
      </c>
      <c r="F82" s="1" t="s">
        <v>8</v>
      </c>
    </row>
    <row r="83" spans="1:6" x14ac:dyDescent="0.3">
      <c r="A83" s="1" t="s">
        <v>13</v>
      </c>
      <c r="B83" s="1">
        <v>34.152720000000002</v>
      </c>
      <c r="C83" s="1">
        <v>-83.640450000000001</v>
      </c>
      <c r="D83" s="1">
        <f t="shared" si="7"/>
        <v>2053</v>
      </c>
      <c r="E83" s="1" t="s">
        <v>95</v>
      </c>
      <c r="F83" s="1" t="s">
        <v>8</v>
      </c>
    </row>
    <row r="84" spans="1:6" x14ac:dyDescent="0.3">
      <c r="A84" s="1" t="s">
        <v>13</v>
      </c>
      <c r="B84" s="1">
        <v>34.119500000000002</v>
      </c>
      <c r="C84" s="1">
        <v>-83.7637</v>
      </c>
      <c r="D84" s="1">
        <f t="shared" si="7"/>
        <v>2053</v>
      </c>
      <c r="E84" s="1" t="s">
        <v>95</v>
      </c>
      <c r="F84" s="1" t="s">
        <v>8</v>
      </c>
    </row>
    <row r="85" spans="1:6" x14ac:dyDescent="0.3">
      <c r="A85" s="1" t="s">
        <v>13</v>
      </c>
      <c r="B85" s="1">
        <v>34.105580000000003</v>
      </c>
      <c r="C85" s="1">
        <v>-84.031379999999999</v>
      </c>
      <c r="D85" s="1">
        <f>ROUNDUP(33550/13, 0)</f>
        <v>2581</v>
      </c>
      <c r="E85" s="1" t="s">
        <v>95</v>
      </c>
      <c r="F85" s="1" t="s">
        <v>8</v>
      </c>
    </row>
    <row r="86" spans="1:6" x14ac:dyDescent="0.3">
      <c r="A86" s="1" t="s">
        <v>13</v>
      </c>
      <c r="B86" s="1">
        <v>34.093069999999997</v>
      </c>
      <c r="C86" s="1">
        <v>-83.810159999999996</v>
      </c>
      <c r="D86" s="1">
        <f t="shared" ref="D86:D97" si="8">ROUNDUP(33550/13, 0)</f>
        <v>2581</v>
      </c>
      <c r="E86" s="1" t="s">
        <v>95</v>
      </c>
      <c r="F86" s="1" t="s">
        <v>8</v>
      </c>
    </row>
    <row r="87" spans="1:6" x14ac:dyDescent="0.3">
      <c r="A87" s="1" t="s">
        <v>13</v>
      </c>
      <c r="B87" s="1">
        <v>34.045000000000002</v>
      </c>
      <c r="C87" s="1">
        <v>-83.993510000000001</v>
      </c>
      <c r="D87" s="1">
        <f t="shared" si="8"/>
        <v>2581</v>
      </c>
      <c r="E87" s="1" t="s">
        <v>95</v>
      </c>
      <c r="F87" s="1" t="s">
        <v>8</v>
      </c>
    </row>
    <row r="88" spans="1:6" x14ac:dyDescent="0.3">
      <c r="A88" s="1" t="s">
        <v>13</v>
      </c>
      <c r="B88" s="1">
        <v>34.021270000000001</v>
      </c>
      <c r="C88" s="1">
        <v>-84.119479999999996</v>
      </c>
      <c r="D88" s="1">
        <f t="shared" si="8"/>
        <v>2581</v>
      </c>
      <c r="E88" s="1" t="s">
        <v>95</v>
      </c>
      <c r="F88" s="1" t="s">
        <v>8</v>
      </c>
    </row>
    <row r="89" spans="1:6" x14ac:dyDescent="0.3">
      <c r="A89" s="1" t="s">
        <v>13</v>
      </c>
      <c r="B89" s="1">
        <v>33.96978</v>
      </c>
      <c r="C89" s="1">
        <v>-84.2453</v>
      </c>
      <c r="D89" s="1">
        <f t="shared" si="8"/>
        <v>2581</v>
      </c>
      <c r="E89" s="1" t="s">
        <v>95</v>
      </c>
      <c r="F89" s="1" t="s">
        <v>8</v>
      </c>
    </row>
    <row r="90" spans="1:6" x14ac:dyDescent="0.3">
      <c r="A90" s="1" t="s">
        <v>13</v>
      </c>
      <c r="B90" s="1">
        <v>33.961179999999999</v>
      </c>
      <c r="C90" s="1">
        <v>-84.226150000000004</v>
      </c>
      <c r="D90" s="1">
        <f t="shared" si="8"/>
        <v>2581</v>
      </c>
      <c r="E90" s="1" t="s">
        <v>95</v>
      </c>
      <c r="F90" s="1" t="s">
        <v>8</v>
      </c>
    </row>
    <row r="91" spans="1:6" x14ac:dyDescent="0.3">
      <c r="A91" s="1" t="s">
        <v>13</v>
      </c>
      <c r="B91" s="1">
        <v>33.960349999999998</v>
      </c>
      <c r="C91" s="1">
        <v>-84.005600000000001</v>
      </c>
      <c r="D91" s="1">
        <f t="shared" si="8"/>
        <v>2581</v>
      </c>
      <c r="E91" s="1" t="s">
        <v>95</v>
      </c>
      <c r="F91" s="1" t="s">
        <v>8</v>
      </c>
    </row>
    <row r="92" spans="1:6" x14ac:dyDescent="0.3">
      <c r="A92" s="1" t="s">
        <v>13</v>
      </c>
      <c r="B92" s="1">
        <v>33.954459999999997</v>
      </c>
      <c r="C92" s="1">
        <v>-84.219669999999994</v>
      </c>
      <c r="D92" s="1">
        <f t="shared" si="8"/>
        <v>2581</v>
      </c>
      <c r="E92" s="1" t="s">
        <v>95</v>
      </c>
      <c r="F92" s="1" t="s">
        <v>8</v>
      </c>
    </row>
    <row r="93" spans="1:6" x14ac:dyDescent="0.3">
      <c r="A93" s="1" t="s">
        <v>13</v>
      </c>
      <c r="B93" s="1">
        <v>33.942979999999999</v>
      </c>
      <c r="C93" s="1">
        <v>-84.238249999999994</v>
      </c>
      <c r="D93" s="1">
        <f t="shared" si="8"/>
        <v>2581</v>
      </c>
      <c r="E93" s="1" t="s">
        <v>95</v>
      </c>
      <c r="F93" s="1" t="s">
        <v>8</v>
      </c>
    </row>
    <row r="94" spans="1:6" x14ac:dyDescent="0.3">
      <c r="A94" s="1" t="s">
        <v>13</v>
      </c>
      <c r="B94" s="1">
        <v>33.935009999999998</v>
      </c>
      <c r="C94" s="1">
        <v>-84.156850000000006</v>
      </c>
      <c r="D94" s="1">
        <f t="shared" si="8"/>
        <v>2581</v>
      </c>
      <c r="E94" s="1" t="s">
        <v>95</v>
      </c>
      <c r="F94" s="1" t="s">
        <v>8</v>
      </c>
    </row>
    <row r="95" spans="1:6" x14ac:dyDescent="0.3">
      <c r="A95" s="1" t="s">
        <v>13</v>
      </c>
      <c r="B95" s="1">
        <v>33.925429999999999</v>
      </c>
      <c r="C95" s="1">
        <v>-84.113429999999994</v>
      </c>
      <c r="D95" s="1">
        <f t="shared" si="8"/>
        <v>2581</v>
      </c>
      <c r="E95" s="1" t="s">
        <v>95</v>
      </c>
      <c r="F95" s="1" t="s">
        <v>8</v>
      </c>
    </row>
    <row r="96" spans="1:6" x14ac:dyDescent="0.3">
      <c r="A96" s="1" t="s">
        <v>13</v>
      </c>
      <c r="B96" s="1">
        <v>33.924489999999999</v>
      </c>
      <c r="C96" s="1">
        <v>-84.017330000000001</v>
      </c>
      <c r="D96" s="1">
        <f t="shared" si="8"/>
        <v>2581</v>
      </c>
      <c r="E96" s="1" t="s">
        <v>95</v>
      </c>
      <c r="F96" s="1" t="s">
        <v>8</v>
      </c>
    </row>
    <row r="97" spans="1:6" x14ac:dyDescent="0.3">
      <c r="A97" s="1" t="s">
        <v>13</v>
      </c>
      <c r="B97" s="1">
        <v>33.866030000000002</v>
      </c>
      <c r="C97" s="1">
        <v>-84.310050000000004</v>
      </c>
      <c r="D97" s="1">
        <f t="shared" si="8"/>
        <v>2581</v>
      </c>
      <c r="E97" s="1" t="s">
        <v>95</v>
      </c>
      <c r="F97" s="1" t="s">
        <v>8</v>
      </c>
    </row>
    <row r="98" spans="1:6" x14ac:dyDescent="0.3">
      <c r="A98" s="1" t="s">
        <v>13</v>
      </c>
      <c r="B98" s="1">
        <v>33.65842</v>
      </c>
      <c r="C98" s="1">
        <v>-84.427760000000006</v>
      </c>
      <c r="D98" s="1">
        <f>20400/5</f>
        <v>4080</v>
      </c>
      <c r="E98" s="1" t="s">
        <v>95</v>
      </c>
      <c r="F98" s="1" t="s">
        <v>8</v>
      </c>
    </row>
    <row r="99" spans="1:6" x14ac:dyDescent="0.3">
      <c r="A99" s="1" t="s">
        <v>13</v>
      </c>
      <c r="B99" s="1">
        <v>33.658329999999999</v>
      </c>
      <c r="C99" s="1">
        <v>-84.427719999999994</v>
      </c>
      <c r="D99" s="1">
        <f t="shared" ref="D99:D102" si="9">20400/5</f>
        <v>4080</v>
      </c>
      <c r="E99" s="1" t="s">
        <v>95</v>
      </c>
      <c r="F99" s="1" t="s">
        <v>8</v>
      </c>
    </row>
    <row r="100" spans="1:6" x14ac:dyDescent="0.3">
      <c r="A100" s="1" t="s">
        <v>13</v>
      </c>
      <c r="B100" s="1">
        <v>33.64884</v>
      </c>
      <c r="C100" s="1">
        <v>-84.462999999999994</v>
      </c>
      <c r="D100" s="1">
        <f t="shared" si="9"/>
        <v>4080</v>
      </c>
      <c r="E100" s="1" t="s">
        <v>95</v>
      </c>
      <c r="F100" s="1" t="s">
        <v>8</v>
      </c>
    </row>
    <row r="101" spans="1:6" x14ac:dyDescent="0.3">
      <c r="A101" s="1" t="s">
        <v>13</v>
      </c>
      <c r="B101" s="1">
        <v>33.568620000000003</v>
      </c>
      <c r="C101" s="1">
        <v>-84.526650000000004</v>
      </c>
      <c r="D101" s="1">
        <f t="shared" si="9"/>
        <v>4080</v>
      </c>
      <c r="E101" s="1" t="s">
        <v>95</v>
      </c>
      <c r="F101" s="1" t="s">
        <v>8</v>
      </c>
    </row>
    <row r="102" spans="1:6" x14ac:dyDescent="0.3">
      <c r="A102" s="1" t="s">
        <v>13</v>
      </c>
      <c r="B102" s="1">
        <v>33.541989999999998</v>
      </c>
      <c r="C102" s="1">
        <v>-84.577809999999999</v>
      </c>
      <c r="D102" s="1">
        <f t="shared" si="9"/>
        <v>4080</v>
      </c>
      <c r="E102" s="1" t="s">
        <v>95</v>
      </c>
      <c r="F102" s="1" t="s">
        <v>8</v>
      </c>
    </row>
    <row r="103" spans="1:6" x14ac:dyDescent="0.3">
      <c r="A103" s="1" t="s">
        <v>13</v>
      </c>
      <c r="B103" s="1">
        <v>33.39734</v>
      </c>
      <c r="C103" s="1">
        <v>-84.753280000000004</v>
      </c>
      <c r="D103" s="1">
        <f>ROUNDUP(9894/4,0)</f>
        <v>2474</v>
      </c>
      <c r="E103" s="1" t="s">
        <v>95</v>
      </c>
      <c r="F103" s="1" t="s">
        <v>8</v>
      </c>
    </row>
    <row r="104" spans="1:6" x14ac:dyDescent="0.3">
      <c r="A104" s="1" t="s">
        <v>13</v>
      </c>
      <c r="B104" s="1">
        <v>33.359830000000002</v>
      </c>
      <c r="C104" s="1">
        <v>-84.752170000000007</v>
      </c>
      <c r="D104" s="1">
        <f t="shared" ref="D104:D106" si="10">ROUNDUP(9894/4,0)</f>
        <v>2474</v>
      </c>
      <c r="E104" s="1" t="s">
        <v>95</v>
      </c>
      <c r="F104" s="1" t="s">
        <v>8</v>
      </c>
    </row>
    <row r="105" spans="1:6" x14ac:dyDescent="0.3">
      <c r="A105" s="2" t="s">
        <v>6</v>
      </c>
      <c r="B105" s="3">
        <v>33.084395000000001</v>
      </c>
      <c r="C105" s="3">
        <v>-84.915871999999993</v>
      </c>
      <c r="D105" s="1">
        <f t="shared" si="10"/>
        <v>2474</v>
      </c>
      <c r="E105" s="2" t="s">
        <v>95</v>
      </c>
      <c r="F105" s="1" t="s">
        <v>8</v>
      </c>
    </row>
    <row r="106" spans="1:6" x14ac:dyDescent="0.3">
      <c r="A106" s="1" t="s">
        <v>13</v>
      </c>
      <c r="B106" s="1">
        <v>33.042839999999998</v>
      </c>
      <c r="C106" s="1">
        <v>-84.976089999999999</v>
      </c>
      <c r="D106" s="1">
        <f t="shared" si="10"/>
        <v>2474</v>
      </c>
      <c r="E106" s="1" t="s">
        <v>95</v>
      </c>
      <c r="F106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3F71F-3B32-4211-B2D5-6205AD95637E}">
  <dimension ref="A1:F83"/>
  <sheetViews>
    <sheetView workbookViewId="0">
      <selection activeCell="H13" sqref="H13"/>
    </sheetView>
  </sheetViews>
  <sheetFormatPr defaultColWidth="8.88671875" defaultRowHeight="14.4" x14ac:dyDescent="0.3"/>
  <cols>
    <col min="1" max="1" width="14.33203125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8" t="s">
        <v>6</v>
      </c>
      <c r="B2" s="9">
        <v>32.219580999999998</v>
      </c>
      <c r="C2" s="9">
        <v>-81.172324000000003</v>
      </c>
      <c r="D2" s="8">
        <v>2571</v>
      </c>
      <c r="E2" s="8" t="s">
        <v>7</v>
      </c>
      <c r="F2" s="1" t="s">
        <v>8</v>
      </c>
    </row>
    <row r="3" spans="1:6" x14ac:dyDescent="0.3">
      <c r="A3" s="8" t="s">
        <v>13</v>
      </c>
      <c r="B3" s="8">
        <v>32.09225</v>
      </c>
      <c r="C3" s="8">
        <v>-81.196349999999995</v>
      </c>
      <c r="D3" s="8">
        <f>2571+2990</f>
        <v>5561</v>
      </c>
      <c r="E3" s="8" t="s">
        <v>7</v>
      </c>
      <c r="F3" s="1" t="s">
        <v>8</v>
      </c>
    </row>
    <row r="4" spans="1:6" x14ac:dyDescent="0.3">
      <c r="A4" s="8" t="s">
        <v>6</v>
      </c>
      <c r="B4" s="9">
        <v>31.477450000000001</v>
      </c>
      <c r="C4" s="9">
        <v>-81.446815999999998</v>
      </c>
      <c r="D4" s="8">
        <v>2571</v>
      </c>
      <c r="E4" s="8" t="s">
        <v>7</v>
      </c>
      <c r="F4" s="1" t="s">
        <v>8</v>
      </c>
    </row>
    <row r="5" spans="1:6" x14ac:dyDescent="0.3">
      <c r="A5" s="8" t="s">
        <v>13</v>
      </c>
      <c r="B5" s="8">
        <v>31.231809999999999</v>
      </c>
      <c r="C5" s="8">
        <v>-81.498059999999995</v>
      </c>
      <c r="D5" s="8">
        <v>2571</v>
      </c>
      <c r="E5" s="8" t="s">
        <v>7</v>
      </c>
      <c r="F5" s="1" t="s">
        <v>8</v>
      </c>
    </row>
    <row r="6" spans="1:6" x14ac:dyDescent="0.3">
      <c r="A6" s="8" t="s">
        <v>13</v>
      </c>
      <c r="B6" s="8">
        <v>31.219480000000001</v>
      </c>
      <c r="C6" s="8">
        <v>-81.518739999999994</v>
      </c>
      <c r="D6" s="8">
        <v>2571</v>
      </c>
      <c r="E6" s="8" t="s">
        <v>7</v>
      </c>
      <c r="F6" s="1" t="s">
        <v>8</v>
      </c>
    </row>
    <row r="7" spans="1:6" x14ac:dyDescent="0.3">
      <c r="A7" s="8" t="s">
        <v>13</v>
      </c>
      <c r="B7" s="8">
        <v>30.77919</v>
      </c>
      <c r="C7" s="8">
        <v>-81.622380000000007</v>
      </c>
      <c r="D7" s="8">
        <v>2571</v>
      </c>
      <c r="E7" s="8" t="s">
        <v>7</v>
      </c>
      <c r="F7" s="1" t="s">
        <v>8</v>
      </c>
    </row>
    <row r="8" spans="1:6" x14ac:dyDescent="0.3">
      <c r="A8" s="8" t="s">
        <v>13</v>
      </c>
      <c r="B8" s="8">
        <v>34.927729999999997</v>
      </c>
      <c r="C8" s="8">
        <v>-85.154750000000007</v>
      </c>
      <c r="D8" s="8">
        <v>1069</v>
      </c>
      <c r="E8" s="8" t="s">
        <v>49</v>
      </c>
      <c r="F8" s="1" t="s">
        <v>8</v>
      </c>
    </row>
    <row r="9" spans="1:6" x14ac:dyDescent="0.3">
      <c r="A9" s="8" t="s">
        <v>6</v>
      </c>
      <c r="B9" s="9">
        <v>34.879550000000002</v>
      </c>
      <c r="C9" s="9">
        <v>-85.048340999999994</v>
      </c>
      <c r="D9" s="8">
        <v>1069</v>
      </c>
      <c r="E9" s="8" t="s">
        <v>49</v>
      </c>
      <c r="F9" s="1" t="s">
        <v>8</v>
      </c>
    </row>
    <row r="10" spans="1:6" x14ac:dyDescent="0.3">
      <c r="A10" s="8" t="s">
        <v>13</v>
      </c>
      <c r="B10" s="8">
        <v>34.795189999999998</v>
      </c>
      <c r="C10" s="8">
        <v>-84.995549999999994</v>
      </c>
      <c r="D10" s="8">
        <v>1069</v>
      </c>
      <c r="E10" s="8" t="s">
        <v>49</v>
      </c>
      <c r="F10" s="1" t="s">
        <v>8</v>
      </c>
    </row>
    <row r="11" spans="1:6" x14ac:dyDescent="0.3">
      <c r="A11" s="8" t="s">
        <v>13</v>
      </c>
      <c r="B11" s="8">
        <v>34.759929999999997</v>
      </c>
      <c r="C11" s="8">
        <v>-84.996780000000001</v>
      </c>
      <c r="D11" s="8">
        <v>1069</v>
      </c>
      <c r="E11" s="8" t="s">
        <v>49</v>
      </c>
      <c r="F11" s="1" t="s">
        <v>8</v>
      </c>
    </row>
    <row r="12" spans="1:6" x14ac:dyDescent="0.3">
      <c r="A12" s="8" t="s">
        <v>13</v>
      </c>
      <c r="B12" s="8">
        <v>34.47296</v>
      </c>
      <c r="C12" s="8">
        <v>-84.924059999999997</v>
      </c>
      <c r="D12" s="8">
        <v>1069</v>
      </c>
      <c r="E12" s="8" t="s">
        <v>49</v>
      </c>
      <c r="F12" s="1" t="s">
        <v>8</v>
      </c>
    </row>
    <row r="13" spans="1:6" x14ac:dyDescent="0.3">
      <c r="A13" s="8" t="s">
        <v>13</v>
      </c>
      <c r="B13" s="8">
        <v>34.376249999999999</v>
      </c>
      <c r="C13" s="8">
        <v>-84.91574</v>
      </c>
      <c r="D13" s="8">
        <v>1069</v>
      </c>
      <c r="E13" s="8" t="s">
        <v>49</v>
      </c>
      <c r="F13" s="1" t="s">
        <v>8</v>
      </c>
    </row>
    <row r="14" spans="1:6" x14ac:dyDescent="0.3">
      <c r="A14" s="8" t="s">
        <v>13</v>
      </c>
      <c r="B14" s="8">
        <v>34.174030000000002</v>
      </c>
      <c r="C14" s="8">
        <v>-84.764489999999995</v>
      </c>
      <c r="D14" s="8">
        <v>1069</v>
      </c>
      <c r="E14" s="8" t="s">
        <v>49</v>
      </c>
      <c r="F14" s="1" t="s">
        <v>8</v>
      </c>
    </row>
    <row r="15" spans="1:6" x14ac:dyDescent="0.3">
      <c r="A15" s="8" t="s">
        <v>13</v>
      </c>
      <c r="B15" s="8">
        <v>34.1417</v>
      </c>
      <c r="C15" s="8">
        <v>-84.743960000000001</v>
      </c>
      <c r="D15" s="8">
        <v>1069</v>
      </c>
      <c r="E15" s="8" t="s">
        <v>49</v>
      </c>
      <c r="F15" s="1" t="s">
        <v>8</v>
      </c>
    </row>
    <row r="16" spans="1:6" x14ac:dyDescent="0.3">
      <c r="A16" s="8" t="s">
        <v>13</v>
      </c>
      <c r="B16" s="8">
        <v>34.084299999999999</v>
      </c>
      <c r="C16" s="8">
        <v>-84.554429999999996</v>
      </c>
      <c r="D16" s="8">
        <v>1069</v>
      </c>
      <c r="E16" s="8" t="s">
        <v>49</v>
      </c>
      <c r="F16" s="1" t="s">
        <v>8</v>
      </c>
    </row>
    <row r="17" spans="1:6" x14ac:dyDescent="0.3">
      <c r="A17" s="8" t="s">
        <v>13</v>
      </c>
      <c r="B17" s="8">
        <v>34.082650000000001</v>
      </c>
      <c r="C17" s="8">
        <v>-84.6554</v>
      </c>
      <c r="D17" s="8">
        <v>1069</v>
      </c>
      <c r="E17" s="8" t="s">
        <v>49</v>
      </c>
      <c r="F17" s="1" t="s">
        <v>8</v>
      </c>
    </row>
    <row r="18" spans="1:6" x14ac:dyDescent="0.3">
      <c r="A18" s="8" t="s">
        <v>13</v>
      </c>
      <c r="B18" s="8">
        <v>34.074260000000002</v>
      </c>
      <c r="C18" s="8">
        <v>-84.677430000000001</v>
      </c>
      <c r="D18" s="8">
        <v>1069</v>
      </c>
      <c r="E18" s="8" t="s">
        <v>49</v>
      </c>
      <c r="F18" s="1" t="s">
        <v>8</v>
      </c>
    </row>
    <row r="19" spans="1:6" x14ac:dyDescent="0.3">
      <c r="A19" s="8" t="s">
        <v>13</v>
      </c>
      <c r="B19" s="8">
        <v>34.05903</v>
      </c>
      <c r="C19" s="8">
        <v>-84.591939999999994</v>
      </c>
      <c r="D19" s="8">
        <v>1069</v>
      </c>
      <c r="E19" s="8" t="s">
        <v>49</v>
      </c>
      <c r="F19" s="1" t="s">
        <v>8</v>
      </c>
    </row>
    <row r="20" spans="1:6" x14ac:dyDescent="0.3">
      <c r="A20" s="8" t="s">
        <v>13</v>
      </c>
      <c r="B20" s="8">
        <v>34.057169999999999</v>
      </c>
      <c r="C20" s="8">
        <v>-84.558120000000002</v>
      </c>
      <c r="D20" s="8">
        <v>1069</v>
      </c>
      <c r="E20" s="8" t="s">
        <v>49</v>
      </c>
      <c r="F20" s="1" t="s">
        <v>8</v>
      </c>
    </row>
    <row r="21" spans="1:6" x14ac:dyDescent="0.3">
      <c r="A21" s="8" t="s">
        <v>13</v>
      </c>
      <c r="B21" s="8">
        <v>34.007620000000003</v>
      </c>
      <c r="C21" s="8">
        <v>-84.527739999999994</v>
      </c>
      <c r="D21" s="8">
        <v>1069</v>
      </c>
      <c r="E21" s="8" t="s">
        <v>49</v>
      </c>
      <c r="F21" s="1" t="s">
        <v>8</v>
      </c>
    </row>
    <row r="22" spans="1:6" x14ac:dyDescent="0.3">
      <c r="A22" s="8" t="s">
        <v>13</v>
      </c>
      <c r="B22" s="8">
        <v>33.99297</v>
      </c>
      <c r="C22" s="8">
        <v>-84.597809999999996</v>
      </c>
      <c r="D22" s="8">
        <v>1069</v>
      </c>
      <c r="E22" s="8" t="s">
        <v>49</v>
      </c>
      <c r="F22" s="1" t="s">
        <v>8</v>
      </c>
    </row>
    <row r="23" spans="1:6" x14ac:dyDescent="0.3">
      <c r="A23" s="8" t="s">
        <v>13</v>
      </c>
      <c r="B23" s="8">
        <v>33.979779999999998</v>
      </c>
      <c r="C23" s="8">
        <v>-84.461979999999997</v>
      </c>
      <c r="D23" s="8">
        <v>1069</v>
      </c>
      <c r="E23" s="8" t="s">
        <v>49</v>
      </c>
      <c r="F23" s="1" t="s">
        <v>8</v>
      </c>
    </row>
    <row r="24" spans="1:6" x14ac:dyDescent="0.3">
      <c r="A24" s="8" t="s">
        <v>13</v>
      </c>
      <c r="B24" s="8">
        <v>33.972479999999997</v>
      </c>
      <c r="C24" s="8">
        <v>-84.550460000000001</v>
      </c>
      <c r="D24" s="8">
        <v>1069</v>
      </c>
      <c r="E24" s="8" t="s">
        <v>49</v>
      </c>
      <c r="F24" s="1" t="s">
        <v>8</v>
      </c>
    </row>
    <row r="25" spans="1:6" x14ac:dyDescent="0.3">
      <c r="A25" s="8" t="s">
        <v>13</v>
      </c>
      <c r="B25" s="8">
        <v>33.936140000000002</v>
      </c>
      <c r="C25" s="8">
        <v>-84.554990000000004</v>
      </c>
      <c r="D25" s="8">
        <v>1069</v>
      </c>
      <c r="E25" s="8" t="s">
        <v>49</v>
      </c>
      <c r="F25" s="1" t="s">
        <v>8</v>
      </c>
    </row>
    <row r="26" spans="1:6" x14ac:dyDescent="0.3">
      <c r="A26" s="8" t="s">
        <v>13</v>
      </c>
      <c r="B26" s="8">
        <v>33.921849999999999</v>
      </c>
      <c r="C26" s="8">
        <v>-84.481449999999995</v>
      </c>
      <c r="D26" s="8">
        <v>1069</v>
      </c>
      <c r="E26" s="8" t="s">
        <v>49</v>
      </c>
      <c r="F26" s="1" t="s">
        <v>8</v>
      </c>
    </row>
    <row r="27" spans="1:6" x14ac:dyDescent="0.3">
      <c r="A27" s="8" t="s">
        <v>13</v>
      </c>
      <c r="B27" s="8">
        <v>33.895699999999998</v>
      </c>
      <c r="C27" s="8">
        <v>-84.575050000000005</v>
      </c>
      <c r="D27" s="8">
        <v>1069</v>
      </c>
      <c r="E27" s="8" t="s">
        <v>49</v>
      </c>
      <c r="F27" s="1" t="s">
        <v>8</v>
      </c>
    </row>
    <row r="28" spans="1:6" x14ac:dyDescent="0.3">
      <c r="A28" s="8" t="s">
        <v>13</v>
      </c>
      <c r="B28" s="8">
        <v>33.882660000000001</v>
      </c>
      <c r="C28" s="8">
        <v>-84.479849999999999</v>
      </c>
      <c r="D28" s="8">
        <v>1069</v>
      </c>
      <c r="E28" s="8" t="s">
        <v>49</v>
      </c>
      <c r="F28" s="1" t="s">
        <v>8</v>
      </c>
    </row>
    <row r="29" spans="1:6" x14ac:dyDescent="0.3">
      <c r="A29" s="8" t="s">
        <v>13</v>
      </c>
      <c r="B29" s="8">
        <v>33.820639999999997</v>
      </c>
      <c r="C29" s="8">
        <v>-84.455179999999999</v>
      </c>
      <c r="D29" s="8">
        <v>3488</v>
      </c>
      <c r="E29" s="8" t="s">
        <v>49</v>
      </c>
      <c r="F29" s="1" t="s">
        <v>8</v>
      </c>
    </row>
    <row r="30" spans="1:6" x14ac:dyDescent="0.3">
      <c r="A30" s="8" t="s">
        <v>13</v>
      </c>
      <c r="B30" s="8">
        <v>33.620339999999999</v>
      </c>
      <c r="C30" s="8">
        <v>-84.384510000000006</v>
      </c>
      <c r="D30" s="8">
        <v>3488</v>
      </c>
      <c r="E30" s="8" t="s">
        <v>49</v>
      </c>
      <c r="F30" s="1" t="s">
        <v>8</v>
      </c>
    </row>
    <row r="31" spans="1:6" x14ac:dyDescent="0.3">
      <c r="A31" s="8" t="s">
        <v>13</v>
      </c>
      <c r="B31" s="8">
        <v>33.48366</v>
      </c>
      <c r="C31" s="8">
        <v>-84.211749999999995</v>
      </c>
      <c r="D31" s="8">
        <v>3488</v>
      </c>
      <c r="E31" s="8" t="s">
        <v>49</v>
      </c>
      <c r="F31" s="1" t="s">
        <v>8</v>
      </c>
    </row>
    <row r="32" spans="1:6" x14ac:dyDescent="0.3">
      <c r="A32" s="8" t="s">
        <v>13</v>
      </c>
      <c r="B32" s="8">
        <v>33.460279999999997</v>
      </c>
      <c r="C32" s="8">
        <v>-84.195989999999995</v>
      </c>
      <c r="D32" s="8">
        <v>3488</v>
      </c>
      <c r="E32" s="8" t="s">
        <v>49</v>
      </c>
      <c r="F32" s="1" t="s">
        <v>8</v>
      </c>
    </row>
    <row r="33" spans="1:6" x14ac:dyDescent="0.3">
      <c r="A33" s="8" t="s">
        <v>13</v>
      </c>
      <c r="B33" s="8">
        <v>33.430390000000003</v>
      </c>
      <c r="C33" s="8">
        <v>-84.178319999999999</v>
      </c>
      <c r="D33" s="8">
        <v>3488</v>
      </c>
      <c r="E33" s="8" t="s">
        <v>49</v>
      </c>
      <c r="F33" s="1" t="s">
        <v>8</v>
      </c>
    </row>
    <row r="34" spans="1:6" x14ac:dyDescent="0.3">
      <c r="A34" s="8" t="s">
        <v>13</v>
      </c>
      <c r="B34" s="8">
        <v>33.425269999999998</v>
      </c>
      <c r="C34" s="8">
        <v>-84.184119999999993</v>
      </c>
      <c r="D34" s="8">
        <v>3488</v>
      </c>
      <c r="E34" s="8" t="s">
        <v>49</v>
      </c>
      <c r="F34" s="1" t="s">
        <v>8</v>
      </c>
    </row>
    <row r="35" spans="1:6" x14ac:dyDescent="0.3">
      <c r="A35" s="8" t="s">
        <v>13</v>
      </c>
      <c r="B35" s="8">
        <v>33.413690000000003</v>
      </c>
      <c r="C35" s="8">
        <v>-84.158100000000005</v>
      </c>
      <c r="D35" s="8">
        <v>3488</v>
      </c>
      <c r="E35" s="8" t="s">
        <v>49</v>
      </c>
      <c r="F35" s="1" t="s">
        <v>8</v>
      </c>
    </row>
    <row r="36" spans="1:6" x14ac:dyDescent="0.3">
      <c r="A36" s="8" t="s">
        <v>6</v>
      </c>
      <c r="B36" s="9">
        <v>33.070383999999997</v>
      </c>
      <c r="C36" s="9">
        <v>-83.973332999999997</v>
      </c>
      <c r="D36" s="8">
        <v>3488</v>
      </c>
      <c r="E36" s="8" t="s">
        <v>49</v>
      </c>
      <c r="F36" s="1" t="s">
        <v>8</v>
      </c>
    </row>
    <row r="37" spans="1:6" x14ac:dyDescent="0.3">
      <c r="A37" s="8" t="s">
        <v>6</v>
      </c>
      <c r="B37" s="9">
        <v>30.918305</v>
      </c>
      <c r="C37" s="9">
        <v>-83.365758999999997</v>
      </c>
      <c r="D37" s="8">
        <v>5130</v>
      </c>
      <c r="E37" s="8" t="s">
        <v>49</v>
      </c>
      <c r="F37" s="1" t="s">
        <v>8</v>
      </c>
    </row>
    <row r="38" spans="1:6" x14ac:dyDescent="0.3">
      <c r="A38" s="8" t="s">
        <v>13</v>
      </c>
      <c r="B38" s="8">
        <v>30.894020000000001</v>
      </c>
      <c r="C38" s="8">
        <v>-83.349000000000004</v>
      </c>
      <c r="D38" s="8">
        <v>5130</v>
      </c>
      <c r="E38" s="8" t="s">
        <v>49</v>
      </c>
      <c r="F38" s="1" t="s">
        <v>8</v>
      </c>
    </row>
    <row r="39" spans="1:6" x14ac:dyDescent="0.3">
      <c r="A39" s="8" t="s">
        <v>13</v>
      </c>
      <c r="B39" s="8">
        <v>30.817730000000001</v>
      </c>
      <c r="C39" s="8">
        <v>-83.319119999999998</v>
      </c>
      <c r="D39" s="8">
        <v>5130</v>
      </c>
      <c r="E39" s="8" t="s">
        <v>49</v>
      </c>
      <c r="F39" s="1" t="s">
        <v>8</v>
      </c>
    </row>
    <row r="40" spans="1:6" x14ac:dyDescent="0.3">
      <c r="A40" s="8" t="s">
        <v>13</v>
      </c>
      <c r="B40" s="8">
        <v>32.484335880000003</v>
      </c>
      <c r="C40" s="8">
        <v>-82.936004650000001</v>
      </c>
      <c r="D40" s="8">
        <v>2990</v>
      </c>
      <c r="E40" s="8" t="s">
        <v>34</v>
      </c>
      <c r="F40" s="1" t="s">
        <v>8</v>
      </c>
    </row>
    <row r="41" spans="1:6" x14ac:dyDescent="0.3">
      <c r="A41" s="8" t="s">
        <v>13</v>
      </c>
      <c r="B41" s="8">
        <v>32.373220000000003</v>
      </c>
      <c r="C41" s="8">
        <v>-82.072730000000007</v>
      </c>
      <c r="D41" s="8">
        <v>2990</v>
      </c>
      <c r="E41" s="8" t="s">
        <v>34</v>
      </c>
      <c r="F41" s="1" t="s">
        <v>8</v>
      </c>
    </row>
    <row r="42" spans="1:6" x14ac:dyDescent="0.3">
      <c r="A42" s="8" t="s">
        <v>6</v>
      </c>
      <c r="B42" s="9">
        <v>32.167738</v>
      </c>
      <c r="C42" s="9">
        <v>-81.443324000000004</v>
      </c>
      <c r="D42" s="8">
        <v>2990</v>
      </c>
      <c r="E42" s="8" t="s">
        <v>34</v>
      </c>
      <c r="F42" s="1" t="s">
        <v>8</v>
      </c>
    </row>
    <row r="43" spans="1:6" x14ac:dyDescent="0.3">
      <c r="A43" s="8" t="s">
        <v>6</v>
      </c>
      <c r="B43" s="9">
        <v>33.696458</v>
      </c>
      <c r="C43" s="9">
        <v>-85.085881000000001</v>
      </c>
      <c r="D43" s="8">
        <v>1346</v>
      </c>
      <c r="E43" s="8" t="s">
        <v>111</v>
      </c>
      <c r="F43" s="1" t="s">
        <v>8</v>
      </c>
    </row>
    <row r="44" spans="1:6" x14ac:dyDescent="0.3">
      <c r="A44" s="8" t="s">
        <v>13</v>
      </c>
      <c r="B44" s="8">
        <v>33.728340000000003</v>
      </c>
      <c r="C44" s="8">
        <v>-84.940799999999996</v>
      </c>
      <c r="D44" s="8">
        <v>1346</v>
      </c>
      <c r="E44" s="8" t="s">
        <v>111</v>
      </c>
      <c r="F44" s="1" t="s">
        <v>8</v>
      </c>
    </row>
    <row r="45" spans="1:6" x14ac:dyDescent="0.3">
      <c r="A45" s="8" t="s">
        <v>13</v>
      </c>
      <c r="B45" s="8">
        <v>33.729819999999997</v>
      </c>
      <c r="C45" s="8">
        <v>-84.761279999999999</v>
      </c>
      <c r="D45" s="8">
        <v>1346</v>
      </c>
      <c r="E45" s="8" t="s">
        <v>111</v>
      </c>
      <c r="F45" s="1" t="s">
        <v>8</v>
      </c>
    </row>
    <row r="46" spans="1:6" x14ac:dyDescent="0.3">
      <c r="A46" s="8" t="s">
        <v>13</v>
      </c>
      <c r="B46" s="8">
        <v>33.751860000000001</v>
      </c>
      <c r="C46" s="8">
        <v>-84.721040000000002</v>
      </c>
      <c r="D46" s="8">
        <v>1346</v>
      </c>
      <c r="E46" s="8" t="s">
        <v>111</v>
      </c>
      <c r="F46" s="1" t="s">
        <v>8</v>
      </c>
    </row>
    <row r="47" spans="1:6" x14ac:dyDescent="0.3">
      <c r="A47" s="8" t="s">
        <v>13</v>
      </c>
      <c r="B47" s="8">
        <v>33.731769999999997</v>
      </c>
      <c r="C47" s="8">
        <v>-84.669449999999998</v>
      </c>
      <c r="D47" s="8">
        <v>1346</v>
      </c>
      <c r="E47" s="8" t="s">
        <v>111</v>
      </c>
      <c r="F47" s="1" t="s">
        <v>8</v>
      </c>
    </row>
    <row r="48" spans="1:6" x14ac:dyDescent="0.3">
      <c r="A48" s="8" t="s">
        <v>6</v>
      </c>
      <c r="B48" s="9">
        <v>33.772841999999997</v>
      </c>
      <c r="C48" s="9">
        <v>-84.630409999999998</v>
      </c>
      <c r="D48" s="8">
        <v>1346</v>
      </c>
      <c r="E48" s="8" t="s">
        <v>111</v>
      </c>
      <c r="F48" s="1" t="s">
        <v>8</v>
      </c>
    </row>
    <row r="49" spans="1:6" x14ac:dyDescent="0.3">
      <c r="A49" s="8" t="s">
        <v>13</v>
      </c>
      <c r="B49" s="8">
        <v>33.787950000000002</v>
      </c>
      <c r="C49" s="8">
        <v>-84.617840000000001</v>
      </c>
      <c r="D49" s="8">
        <v>1346</v>
      </c>
      <c r="E49" s="8" t="s">
        <v>111</v>
      </c>
      <c r="F49" s="1" t="s">
        <v>8</v>
      </c>
    </row>
    <row r="50" spans="1:6" x14ac:dyDescent="0.3">
      <c r="A50" s="8" t="s">
        <v>13</v>
      </c>
      <c r="B50" s="8">
        <v>33.77084</v>
      </c>
      <c r="C50" s="8">
        <v>-84.603290000000001</v>
      </c>
      <c r="D50" s="8">
        <v>1346</v>
      </c>
      <c r="E50" s="8" t="s">
        <v>111</v>
      </c>
      <c r="F50" s="1" t="s">
        <v>8</v>
      </c>
    </row>
    <row r="51" spans="1:6" x14ac:dyDescent="0.3">
      <c r="A51" s="8" t="s">
        <v>13</v>
      </c>
      <c r="B51" s="8">
        <v>33.78172</v>
      </c>
      <c r="C51" s="8">
        <v>-84.536090000000002</v>
      </c>
      <c r="D51" s="8">
        <v>1346</v>
      </c>
      <c r="E51" s="8" t="s">
        <v>111</v>
      </c>
      <c r="F51" s="1" t="s">
        <v>8</v>
      </c>
    </row>
    <row r="52" spans="1:6" x14ac:dyDescent="0.3">
      <c r="A52" s="8" t="s">
        <v>13</v>
      </c>
      <c r="B52" s="8">
        <v>33.799889999999998</v>
      </c>
      <c r="C52" s="8">
        <v>-84.513140000000007</v>
      </c>
      <c r="D52" s="8">
        <v>1346</v>
      </c>
      <c r="E52" s="8" t="s">
        <v>111</v>
      </c>
      <c r="F52" s="1" t="s">
        <v>8</v>
      </c>
    </row>
    <row r="53" spans="1:6" x14ac:dyDescent="0.3">
      <c r="A53" s="8" t="s">
        <v>13</v>
      </c>
      <c r="B53" s="8">
        <v>33.723379999999999</v>
      </c>
      <c r="C53" s="8">
        <v>-84.092200000000005</v>
      </c>
      <c r="D53" s="8">
        <v>1346</v>
      </c>
      <c r="E53" s="8" t="s">
        <v>111</v>
      </c>
      <c r="F53" s="1" t="s">
        <v>8</v>
      </c>
    </row>
    <row r="54" spans="1:6" x14ac:dyDescent="0.3">
      <c r="A54" s="8" t="s">
        <v>13</v>
      </c>
      <c r="B54" s="8">
        <v>33.669710000000002</v>
      </c>
      <c r="C54" s="8">
        <v>-83.988140000000001</v>
      </c>
      <c r="D54" s="8">
        <v>1346</v>
      </c>
      <c r="E54" s="8" t="s">
        <v>111</v>
      </c>
      <c r="F54" s="1" t="s">
        <v>8</v>
      </c>
    </row>
    <row r="55" spans="1:6" x14ac:dyDescent="0.3">
      <c r="A55" s="8" t="s">
        <v>13</v>
      </c>
      <c r="B55" s="8">
        <v>33.54097917</v>
      </c>
      <c r="C55" s="8">
        <v>-83.208587690000002</v>
      </c>
      <c r="D55" s="8">
        <v>5828</v>
      </c>
      <c r="E55" s="8" t="s">
        <v>111</v>
      </c>
      <c r="F55" s="1" t="s">
        <v>8</v>
      </c>
    </row>
    <row r="56" spans="1:6" x14ac:dyDescent="0.3">
      <c r="A56" s="8" t="s">
        <v>6</v>
      </c>
      <c r="B56" s="9">
        <v>33.487222000000003</v>
      </c>
      <c r="C56" s="9">
        <v>-82.237219999999994</v>
      </c>
      <c r="D56" s="8">
        <v>5828</v>
      </c>
      <c r="E56" s="8" t="s">
        <v>111</v>
      </c>
      <c r="F56" s="1" t="s">
        <v>8</v>
      </c>
    </row>
    <row r="57" spans="1:6" x14ac:dyDescent="0.3">
      <c r="A57" s="8" t="s">
        <v>6</v>
      </c>
      <c r="B57" s="9">
        <v>34.427017999999997</v>
      </c>
      <c r="C57" s="9">
        <v>-83.156396999999998</v>
      </c>
      <c r="D57" s="8">
        <v>2874</v>
      </c>
      <c r="E57" s="8" t="s">
        <v>95</v>
      </c>
      <c r="F57" s="1" t="s">
        <v>8</v>
      </c>
    </row>
    <row r="58" spans="1:6" x14ac:dyDescent="0.3">
      <c r="A58" s="8" t="s">
        <v>6</v>
      </c>
      <c r="B58" s="9">
        <v>34.415317999999999</v>
      </c>
      <c r="C58" s="9">
        <v>-83.179141999999999</v>
      </c>
      <c r="D58" s="8">
        <v>2874</v>
      </c>
      <c r="E58" s="8" t="s">
        <v>95</v>
      </c>
      <c r="F58" s="1" t="s">
        <v>8</v>
      </c>
    </row>
    <row r="59" spans="1:6" x14ac:dyDescent="0.3">
      <c r="A59" s="8" t="s">
        <v>13</v>
      </c>
      <c r="B59" s="8">
        <v>34.256990000000002</v>
      </c>
      <c r="C59" s="8">
        <v>-83.464759999999998</v>
      </c>
      <c r="D59" s="8">
        <v>2874</v>
      </c>
      <c r="E59" s="8" t="s">
        <v>95</v>
      </c>
      <c r="F59" s="1" t="s">
        <v>8</v>
      </c>
    </row>
    <row r="60" spans="1:6" x14ac:dyDescent="0.3">
      <c r="A60" s="8" t="s">
        <v>13</v>
      </c>
      <c r="B60" s="8">
        <v>34.152720000000002</v>
      </c>
      <c r="C60" s="8">
        <v>-83.640450000000001</v>
      </c>
      <c r="D60" s="8">
        <v>2874</v>
      </c>
      <c r="E60" s="8" t="s">
        <v>95</v>
      </c>
      <c r="F60" s="1" t="s">
        <v>8</v>
      </c>
    </row>
    <row r="61" spans="1:6" x14ac:dyDescent="0.3">
      <c r="A61" s="8" t="s">
        <v>13</v>
      </c>
      <c r="B61" s="8">
        <v>34.119500000000002</v>
      </c>
      <c r="C61" s="8">
        <v>-83.7637</v>
      </c>
      <c r="D61" s="8">
        <v>2874</v>
      </c>
      <c r="E61" s="8" t="s">
        <v>95</v>
      </c>
      <c r="F61" s="1" t="s">
        <v>8</v>
      </c>
    </row>
    <row r="62" spans="1:6" x14ac:dyDescent="0.3">
      <c r="A62" s="8" t="s">
        <v>13</v>
      </c>
      <c r="B62" s="8">
        <v>34.105580000000003</v>
      </c>
      <c r="C62" s="8">
        <v>-84.031379999999999</v>
      </c>
      <c r="D62" s="8">
        <v>2581</v>
      </c>
      <c r="E62" s="8" t="s">
        <v>95</v>
      </c>
      <c r="F62" s="1" t="s">
        <v>8</v>
      </c>
    </row>
    <row r="63" spans="1:6" x14ac:dyDescent="0.3">
      <c r="A63" s="8" t="s">
        <v>13</v>
      </c>
      <c r="B63" s="8">
        <v>34.093069999999997</v>
      </c>
      <c r="C63" s="8">
        <v>-83.810159999999996</v>
      </c>
      <c r="D63" s="8">
        <v>2581</v>
      </c>
      <c r="E63" s="8" t="s">
        <v>95</v>
      </c>
      <c r="F63" s="1" t="s">
        <v>8</v>
      </c>
    </row>
    <row r="64" spans="1:6" x14ac:dyDescent="0.3">
      <c r="A64" s="8" t="s">
        <v>13</v>
      </c>
      <c r="B64" s="8">
        <v>34.045000000000002</v>
      </c>
      <c r="C64" s="8">
        <v>-83.993510000000001</v>
      </c>
      <c r="D64" s="8">
        <v>2581</v>
      </c>
      <c r="E64" s="8" t="s">
        <v>95</v>
      </c>
      <c r="F64" s="1" t="s">
        <v>8</v>
      </c>
    </row>
    <row r="65" spans="1:6" x14ac:dyDescent="0.3">
      <c r="A65" s="8" t="s">
        <v>13</v>
      </c>
      <c r="B65" s="8">
        <v>34.021270000000001</v>
      </c>
      <c r="C65" s="8">
        <v>-84.119479999999996</v>
      </c>
      <c r="D65" s="8">
        <v>2581</v>
      </c>
      <c r="E65" s="8" t="s">
        <v>95</v>
      </c>
      <c r="F65" s="1" t="s">
        <v>8</v>
      </c>
    </row>
    <row r="66" spans="1:6" x14ac:dyDescent="0.3">
      <c r="A66" s="8" t="s">
        <v>13</v>
      </c>
      <c r="B66" s="8">
        <v>33.96978</v>
      </c>
      <c r="C66" s="8">
        <v>-84.2453</v>
      </c>
      <c r="D66" s="8">
        <v>2581</v>
      </c>
      <c r="E66" s="8" t="s">
        <v>95</v>
      </c>
      <c r="F66" s="1" t="s">
        <v>8</v>
      </c>
    </row>
    <row r="67" spans="1:6" x14ac:dyDescent="0.3">
      <c r="A67" s="8" t="s">
        <v>13</v>
      </c>
      <c r="B67" s="8">
        <v>33.961179999999999</v>
      </c>
      <c r="C67" s="8">
        <v>-84.226150000000004</v>
      </c>
      <c r="D67" s="8">
        <v>2581</v>
      </c>
      <c r="E67" s="8" t="s">
        <v>95</v>
      </c>
      <c r="F67" s="1" t="s">
        <v>8</v>
      </c>
    </row>
    <row r="68" spans="1:6" x14ac:dyDescent="0.3">
      <c r="A68" s="8" t="s">
        <v>13</v>
      </c>
      <c r="B68" s="8">
        <v>33.960349999999998</v>
      </c>
      <c r="C68" s="8">
        <v>-84.005600000000001</v>
      </c>
      <c r="D68" s="8">
        <v>2581</v>
      </c>
      <c r="E68" s="8" t="s">
        <v>95</v>
      </c>
      <c r="F68" s="1" t="s">
        <v>8</v>
      </c>
    </row>
    <row r="69" spans="1:6" x14ac:dyDescent="0.3">
      <c r="A69" s="8" t="s">
        <v>13</v>
      </c>
      <c r="B69" s="8">
        <v>33.954459999999997</v>
      </c>
      <c r="C69" s="8">
        <v>-84.219669999999994</v>
      </c>
      <c r="D69" s="8">
        <v>2581</v>
      </c>
      <c r="E69" s="8" t="s">
        <v>95</v>
      </c>
      <c r="F69" s="1" t="s">
        <v>8</v>
      </c>
    </row>
    <row r="70" spans="1:6" x14ac:dyDescent="0.3">
      <c r="A70" s="8" t="s">
        <v>13</v>
      </c>
      <c r="B70" s="8">
        <v>33.942979999999999</v>
      </c>
      <c r="C70" s="8">
        <v>-84.238249999999994</v>
      </c>
      <c r="D70" s="8">
        <v>2581</v>
      </c>
      <c r="E70" s="8" t="s">
        <v>95</v>
      </c>
      <c r="F70" s="1" t="s">
        <v>8</v>
      </c>
    </row>
    <row r="71" spans="1:6" x14ac:dyDescent="0.3">
      <c r="A71" s="8" t="s">
        <v>13</v>
      </c>
      <c r="B71" s="8">
        <v>33.935009999999998</v>
      </c>
      <c r="C71" s="8">
        <v>-84.156850000000006</v>
      </c>
      <c r="D71" s="8">
        <v>2581</v>
      </c>
      <c r="E71" s="8" t="s">
        <v>95</v>
      </c>
      <c r="F71" s="1" t="s">
        <v>8</v>
      </c>
    </row>
    <row r="72" spans="1:6" x14ac:dyDescent="0.3">
      <c r="A72" s="8" t="s">
        <v>13</v>
      </c>
      <c r="B72" s="8">
        <v>33.925429999999999</v>
      </c>
      <c r="C72" s="8">
        <v>-84.113429999999994</v>
      </c>
      <c r="D72" s="8">
        <v>2581</v>
      </c>
      <c r="E72" s="8" t="s">
        <v>95</v>
      </c>
      <c r="F72" s="1" t="s">
        <v>8</v>
      </c>
    </row>
    <row r="73" spans="1:6" x14ac:dyDescent="0.3">
      <c r="A73" s="8" t="s">
        <v>13</v>
      </c>
      <c r="B73" s="8">
        <v>33.924489999999999</v>
      </c>
      <c r="C73" s="8">
        <v>-84.017330000000001</v>
      </c>
      <c r="D73" s="8">
        <v>2581</v>
      </c>
      <c r="E73" s="8" t="s">
        <v>95</v>
      </c>
      <c r="F73" s="1" t="s">
        <v>8</v>
      </c>
    </row>
    <row r="74" spans="1:6" x14ac:dyDescent="0.3">
      <c r="A74" s="8" t="s">
        <v>13</v>
      </c>
      <c r="B74" s="8">
        <v>33.866030000000002</v>
      </c>
      <c r="C74" s="8">
        <v>-84.310050000000004</v>
      </c>
      <c r="D74" s="8">
        <v>2581</v>
      </c>
      <c r="E74" s="8" t="s">
        <v>95</v>
      </c>
      <c r="F74" s="1" t="s">
        <v>8</v>
      </c>
    </row>
    <row r="75" spans="1:6" x14ac:dyDescent="0.3">
      <c r="A75" s="8" t="s">
        <v>13</v>
      </c>
      <c r="B75" s="8">
        <v>33.65842</v>
      </c>
      <c r="C75" s="8">
        <v>-84.427760000000006</v>
      </c>
      <c r="D75" s="8">
        <v>4080</v>
      </c>
      <c r="E75" s="8" t="s">
        <v>95</v>
      </c>
      <c r="F75" s="1" t="s">
        <v>8</v>
      </c>
    </row>
    <row r="76" spans="1:6" x14ac:dyDescent="0.3">
      <c r="A76" s="8" t="s">
        <v>13</v>
      </c>
      <c r="B76" s="8">
        <v>33.658329999999999</v>
      </c>
      <c r="C76" s="8">
        <v>-84.427719999999994</v>
      </c>
      <c r="D76" s="8">
        <v>4080</v>
      </c>
      <c r="E76" s="8" t="s">
        <v>95</v>
      </c>
      <c r="F76" s="1" t="s">
        <v>8</v>
      </c>
    </row>
    <row r="77" spans="1:6" x14ac:dyDescent="0.3">
      <c r="A77" s="8" t="s">
        <v>13</v>
      </c>
      <c r="B77" s="8">
        <v>33.64884</v>
      </c>
      <c r="C77" s="8">
        <v>-84.462999999999994</v>
      </c>
      <c r="D77" s="8">
        <v>4080</v>
      </c>
      <c r="E77" s="8" t="s">
        <v>95</v>
      </c>
      <c r="F77" s="1" t="s">
        <v>8</v>
      </c>
    </row>
    <row r="78" spans="1:6" x14ac:dyDescent="0.3">
      <c r="A78" s="8" t="s">
        <v>13</v>
      </c>
      <c r="B78" s="8">
        <v>33.568620000000003</v>
      </c>
      <c r="C78" s="8">
        <v>-84.526650000000004</v>
      </c>
      <c r="D78" s="8">
        <v>4080</v>
      </c>
      <c r="E78" s="8" t="s">
        <v>95</v>
      </c>
      <c r="F78" s="1" t="s">
        <v>8</v>
      </c>
    </row>
    <row r="79" spans="1:6" x14ac:dyDescent="0.3">
      <c r="A79" s="8" t="s">
        <v>13</v>
      </c>
      <c r="B79" s="8">
        <v>33.541989999999998</v>
      </c>
      <c r="C79" s="8">
        <v>-84.577809999999999</v>
      </c>
      <c r="D79" s="8">
        <v>4080</v>
      </c>
      <c r="E79" s="8" t="s">
        <v>95</v>
      </c>
      <c r="F79" s="1" t="s">
        <v>8</v>
      </c>
    </row>
    <row r="80" spans="1:6" x14ac:dyDescent="0.3">
      <c r="A80" s="8" t="s">
        <v>13</v>
      </c>
      <c r="B80" s="8">
        <v>33.39734</v>
      </c>
      <c r="C80" s="8">
        <v>-84.753280000000004</v>
      </c>
      <c r="D80" s="8">
        <v>2474</v>
      </c>
      <c r="E80" s="8" t="s">
        <v>95</v>
      </c>
      <c r="F80" s="1" t="s">
        <v>8</v>
      </c>
    </row>
    <row r="81" spans="1:6" x14ac:dyDescent="0.3">
      <c r="A81" s="8" t="s">
        <v>13</v>
      </c>
      <c r="B81" s="8">
        <v>33.359830000000002</v>
      </c>
      <c r="C81" s="8">
        <v>-84.752170000000007</v>
      </c>
      <c r="D81" s="8">
        <v>2474</v>
      </c>
      <c r="E81" s="8" t="s">
        <v>95</v>
      </c>
      <c r="F81" s="1" t="s">
        <v>8</v>
      </c>
    </row>
    <row r="82" spans="1:6" x14ac:dyDescent="0.3">
      <c r="A82" s="8" t="s">
        <v>6</v>
      </c>
      <c r="B82" s="9">
        <v>33.084395000000001</v>
      </c>
      <c r="C82" s="9">
        <v>-84.915871999999993</v>
      </c>
      <c r="D82" s="8">
        <v>2474</v>
      </c>
      <c r="E82" s="8" t="s">
        <v>95</v>
      </c>
      <c r="F82" s="1" t="s">
        <v>8</v>
      </c>
    </row>
    <row r="83" spans="1:6" x14ac:dyDescent="0.3">
      <c r="A83" s="8" t="s">
        <v>13</v>
      </c>
      <c r="B83" s="8">
        <v>33.042839999999998</v>
      </c>
      <c r="C83" s="8">
        <v>-84.976089999999999</v>
      </c>
      <c r="D83" s="8">
        <v>2474</v>
      </c>
      <c r="E83" s="8" t="s">
        <v>95</v>
      </c>
      <c r="F83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40C7-68EC-4121-A9B5-3FD13F7C59A7}">
  <dimension ref="A1:F71"/>
  <sheetViews>
    <sheetView workbookViewId="0"/>
  </sheetViews>
  <sheetFormatPr defaultColWidth="11.44140625" defaultRowHeight="14.4" x14ac:dyDescent="0.3"/>
  <cols>
    <col min="1" max="1" width="12.6640625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8" t="s">
        <v>13</v>
      </c>
      <c r="B2" s="8">
        <v>32.09225</v>
      </c>
      <c r="C2" s="8">
        <v>-81.196349999999995</v>
      </c>
      <c r="D2" s="8">
        <f>3857+4485</f>
        <v>8342</v>
      </c>
      <c r="E2" s="8" t="s">
        <v>7</v>
      </c>
      <c r="F2" s="1" t="s">
        <v>8</v>
      </c>
    </row>
    <row r="3" spans="1:6" x14ac:dyDescent="0.3">
      <c r="A3" s="8" t="s">
        <v>13</v>
      </c>
      <c r="B3" s="8">
        <v>31.231809999999999</v>
      </c>
      <c r="C3" s="8">
        <v>-81.498059999999995</v>
      </c>
      <c r="D3" s="8">
        <v>3857</v>
      </c>
      <c r="E3" s="8" t="s">
        <v>7</v>
      </c>
      <c r="F3" s="1" t="s">
        <v>8</v>
      </c>
    </row>
    <row r="4" spans="1:6" x14ac:dyDescent="0.3">
      <c r="A4" s="8" t="s">
        <v>13</v>
      </c>
      <c r="B4" s="8">
        <v>31.219480000000001</v>
      </c>
      <c r="C4" s="8">
        <v>-81.518739999999994</v>
      </c>
      <c r="D4" s="8">
        <v>3857</v>
      </c>
      <c r="E4" s="8" t="s">
        <v>7</v>
      </c>
      <c r="F4" s="1" t="s">
        <v>8</v>
      </c>
    </row>
    <row r="5" spans="1:6" x14ac:dyDescent="0.3">
      <c r="A5" s="8" t="s">
        <v>13</v>
      </c>
      <c r="B5" s="8">
        <v>30.77919</v>
      </c>
      <c r="C5" s="8">
        <v>-81.622380000000007</v>
      </c>
      <c r="D5" s="8">
        <v>3857</v>
      </c>
      <c r="E5" s="8" t="s">
        <v>7</v>
      </c>
      <c r="F5" s="1" t="s">
        <v>8</v>
      </c>
    </row>
    <row r="6" spans="1:6" x14ac:dyDescent="0.3">
      <c r="A6" s="8" t="s">
        <v>13</v>
      </c>
      <c r="B6" s="8">
        <v>34.927729999999997</v>
      </c>
      <c r="C6" s="8">
        <v>-85.154750000000007</v>
      </c>
      <c r="D6" s="8">
        <v>1123</v>
      </c>
      <c r="E6" s="8" t="s">
        <v>49</v>
      </c>
      <c r="F6" s="1" t="s">
        <v>8</v>
      </c>
    </row>
    <row r="7" spans="1:6" x14ac:dyDescent="0.3">
      <c r="A7" s="8" t="s">
        <v>13</v>
      </c>
      <c r="B7" s="8">
        <v>34.795189999999998</v>
      </c>
      <c r="C7" s="8">
        <v>-84.995549999999994</v>
      </c>
      <c r="D7" s="8">
        <v>1123</v>
      </c>
      <c r="E7" s="8" t="s">
        <v>49</v>
      </c>
      <c r="F7" s="1" t="s">
        <v>8</v>
      </c>
    </row>
    <row r="8" spans="1:6" x14ac:dyDescent="0.3">
      <c r="A8" s="8" t="s">
        <v>13</v>
      </c>
      <c r="B8" s="8">
        <v>34.759929999999997</v>
      </c>
      <c r="C8" s="8">
        <v>-84.996780000000001</v>
      </c>
      <c r="D8" s="8">
        <v>1123</v>
      </c>
      <c r="E8" s="8" t="s">
        <v>49</v>
      </c>
      <c r="F8" s="1" t="s">
        <v>8</v>
      </c>
    </row>
    <row r="9" spans="1:6" x14ac:dyDescent="0.3">
      <c r="A9" s="8" t="s">
        <v>13</v>
      </c>
      <c r="B9" s="8">
        <v>34.47296</v>
      </c>
      <c r="C9" s="8">
        <v>-84.924059999999997</v>
      </c>
      <c r="D9" s="8">
        <v>1123</v>
      </c>
      <c r="E9" s="8" t="s">
        <v>49</v>
      </c>
      <c r="F9" s="1" t="s">
        <v>8</v>
      </c>
    </row>
    <row r="10" spans="1:6" x14ac:dyDescent="0.3">
      <c r="A10" s="8" t="s">
        <v>13</v>
      </c>
      <c r="B10" s="8">
        <v>34.376249999999999</v>
      </c>
      <c r="C10" s="8">
        <v>-84.91574</v>
      </c>
      <c r="D10" s="8">
        <v>1123</v>
      </c>
      <c r="E10" s="8" t="s">
        <v>49</v>
      </c>
      <c r="F10" s="1" t="s">
        <v>8</v>
      </c>
    </row>
    <row r="11" spans="1:6" x14ac:dyDescent="0.3">
      <c r="A11" s="8" t="s">
        <v>13</v>
      </c>
      <c r="B11" s="8">
        <v>34.174030000000002</v>
      </c>
      <c r="C11" s="8">
        <v>-84.764489999999995</v>
      </c>
      <c r="D11" s="8">
        <v>1123</v>
      </c>
      <c r="E11" s="8" t="s">
        <v>49</v>
      </c>
      <c r="F11" s="1" t="s">
        <v>8</v>
      </c>
    </row>
    <row r="12" spans="1:6" x14ac:dyDescent="0.3">
      <c r="A12" s="8" t="s">
        <v>13</v>
      </c>
      <c r="B12" s="8">
        <v>34.1417</v>
      </c>
      <c r="C12" s="8">
        <v>-84.743960000000001</v>
      </c>
      <c r="D12" s="8">
        <v>1123</v>
      </c>
      <c r="E12" s="8" t="s">
        <v>49</v>
      </c>
      <c r="F12" s="1" t="s">
        <v>8</v>
      </c>
    </row>
    <row r="13" spans="1:6" x14ac:dyDescent="0.3">
      <c r="A13" s="8" t="s">
        <v>13</v>
      </c>
      <c r="B13" s="8">
        <v>34.084299999999999</v>
      </c>
      <c r="C13" s="8">
        <v>-84.554429999999996</v>
      </c>
      <c r="D13" s="8">
        <v>1123</v>
      </c>
      <c r="E13" s="8" t="s">
        <v>49</v>
      </c>
      <c r="F13" s="1" t="s">
        <v>8</v>
      </c>
    </row>
    <row r="14" spans="1:6" x14ac:dyDescent="0.3">
      <c r="A14" s="8" t="s">
        <v>13</v>
      </c>
      <c r="B14" s="8">
        <v>34.082650000000001</v>
      </c>
      <c r="C14" s="8">
        <v>-84.6554</v>
      </c>
      <c r="D14" s="8">
        <v>1123</v>
      </c>
      <c r="E14" s="8" t="s">
        <v>49</v>
      </c>
      <c r="F14" s="1" t="s">
        <v>8</v>
      </c>
    </row>
    <row r="15" spans="1:6" x14ac:dyDescent="0.3">
      <c r="A15" s="8" t="s">
        <v>13</v>
      </c>
      <c r="B15" s="8">
        <v>34.074260000000002</v>
      </c>
      <c r="C15" s="8">
        <v>-84.677430000000001</v>
      </c>
      <c r="D15" s="8">
        <v>1123</v>
      </c>
      <c r="E15" s="8" t="s">
        <v>49</v>
      </c>
      <c r="F15" s="1" t="s">
        <v>8</v>
      </c>
    </row>
    <row r="16" spans="1:6" x14ac:dyDescent="0.3">
      <c r="A16" s="8" t="s">
        <v>13</v>
      </c>
      <c r="B16" s="8">
        <v>34.05903</v>
      </c>
      <c r="C16" s="8">
        <v>-84.591939999999994</v>
      </c>
      <c r="D16" s="8">
        <v>1123</v>
      </c>
      <c r="E16" s="8" t="s">
        <v>49</v>
      </c>
      <c r="F16" s="1" t="s">
        <v>8</v>
      </c>
    </row>
    <row r="17" spans="1:6" x14ac:dyDescent="0.3">
      <c r="A17" s="8" t="s">
        <v>13</v>
      </c>
      <c r="B17" s="8">
        <v>34.057169999999999</v>
      </c>
      <c r="C17" s="8">
        <v>-84.558120000000002</v>
      </c>
      <c r="D17" s="8">
        <v>1123</v>
      </c>
      <c r="E17" s="8" t="s">
        <v>49</v>
      </c>
      <c r="F17" s="1" t="s">
        <v>8</v>
      </c>
    </row>
    <row r="18" spans="1:6" x14ac:dyDescent="0.3">
      <c r="A18" s="8" t="s">
        <v>13</v>
      </c>
      <c r="B18" s="8">
        <v>34.007620000000003</v>
      </c>
      <c r="C18" s="8">
        <v>-84.527739999999994</v>
      </c>
      <c r="D18" s="8">
        <v>1123</v>
      </c>
      <c r="E18" s="8" t="s">
        <v>49</v>
      </c>
      <c r="F18" s="1" t="s">
        <v>8</v>
      </c>
    </row>
    <row r="19" spans="1:6" x14ac:dyDescent="0.3">
      <c r="A19" s="8" t="s">
        <v>13</v>
      </c>
      <c r="B19" s="8">
        <v>33.99297</v>
      </c>
      <c r="C19" s="8">
        <v>-84.597809999999996</v>
      </c>
      <c r="D19" s="8">
        <v>1123</v>
      </c>
      <c r="E19" s="8" t="s">
        <v>49</v>
      </c>
      <c r="F19" s="1" t="s">
        <v>8</v>
      </c>
    </row>
    <row r="20" spans="1:6" x14ac:dyDescent="0.3">
      <c r="A20" s="8" t="s">
        <v>13</v>
      </c>
      <c r="B20" s="8">
        <v>33.979779999999998</v>
      </c>
      <c r="C20" s="8">
        <v>-84.461979999999997</v>
      </c>
      <c r="D20" s="8">
        <v>1123</v>
      </c>
      <c r="E20" s="8" t="s">
        <v>49</v>
      </c>
      <c r="F20" s="1" t="s">
        <v>8</v>
      </c>
    </row>
    <row r="21" spans="1:6" x14ac:dyDescent="0.3">
      <c r="A21" s="8" t="s">
        <v>13</v>
      </c>
      <c r="B21" s="8">
        <v>33.972479999999997</v>
      </c>
      <c r="C21" s="8">
        <v>-84.550460000000001</v>
      </c>
      <c r="D21" s="8">
        <v>1123</v>
      </c>
      <c r="E21" s="8" t="s">
        <v>49</v>
      </c>
      <c r="F21" s="1" t="s">
        <v>8</v>
      </c>
    </row>
    <row r="22" spans="1:6" x14ac:dyDescent="0.3">
      <c r="A22" s="8" t="s">
        <v>13</v>
      </c>
      <c r="B22" s="8">
        <v>33.936140000000002</v>
      </c>
      <c r="C22" s="8">
        <v>-84.554990000000004</v>
      </c>
      <c r="D22" s="8">
        <v>1123</v>
      </c>
      <c r="E22" s="8" t="s">
        <v>49</v>
      </c>
      <c r="F22" s="1" t="s">
        <v>8</v>
      </c>
    </row>
    <row r="23" spans="1:6" x14ac:dyDescent="0.3">
      <c r="A23" s="8" t="s">
        <v>13</v>
      </c>
      <c r="B23" s="8">
        <v>33.921849999999999</v>
      </c>
      <c r="C23" s="8">
        <v>-84.481449999999995</v>
      </c>
      <c r="D23" s="8">
        <v>1123</v>
      </c>
      <c r="E23" s="8" t="s">
        <v>49</v>
      </c>
      <c r="F23" s="1" t="s">
        <v>8</v>
      </c>
    </row>
    <row r="24" spans="1:6" x14ac:dyDescent="0.3">
      <c r="A24" s="8" t="s">
        <v>13</v>
      </c>
      <c r="B24" s="8">
        <v>33.895699999999998</v>
      </c>
      <c r="C24" s="8">
        <v>-84.575050000000005</v>
      </c>
      <c r="D24" s="8">
        <v>1123</v>
      </c>
      <c r="E24" s="8" t="s">
        <v>49</v>
      </c>
      <c r="F24" s="1" t="s">
        <v>8</v>
      </c>
    </row>
    <row r="25" spans="1:6" x14ac:dyDescent="0.3">
      <c r="A25" s="8" t="s">
        <v>13</v>
      </c>
      <c r="B25" s="8">
        <v>33.882660000000001</v>
      </c>
      <c r="C25" s="8">
        <v>-84.479849999999999</v>
      </c>
      <c r="D25" s="8">
        <v>1123</v>
      </c>
      <c r="E25" s="8" t="s">
        <v>49</v>
      </c>
      <c r="F25" s="1" t="s">
        <v>8</v>
      </c>
    </row>
    <row r="26" spans="1:6" x14ac:dyDescent="0.3">
      <c r="A26" s="8" t="s">
        <v>13</v>
      </c>
      <c r="B26" s="8">
        <v>33.820639999999997</v>
      </c>
      <c r="C26" s="8">
        <v>-84.455179999999999</v>
      </c>
      <c r="D26" s="8">
        <v>3986</v>
      </c>
      <c r="E26" s="8" t="s">
        <v>49</v>
      </c>
      <c r="F26" s="1" t="s">
        <v>8</v>
      </c>
    </row>
    <row r="27" spans="1:6" x14ac:dyDescent="0.3">
      <c r="A27" s="8" t="s">
        <v>13</v>
      </c>
      <c r="B27" s="8">
        <v>33.620339999999999</v>
      </c>
      <c r="C27" s="8">
        <v>-84.384510000000006</v>
      </c>
      <c r="D27" s="8">
        <v>3986</v>
      </c>
      <c r="E27" s="8" t="s">
        <v>49</v>
      </c>
      <c r="F27" s="1" t="s">
        <v>8</v>
      </c>
    </row>
    <row r="28" spans="1:6" x14ac:dyDescent="0.3">
      <c r="A28" s="8" t="s">
        <v>13</v>
      </c>
      <c r="B28" s="8">
        <v>33.48366</v>
      </c>
      <c r="C28" s="8">
        <v>-84.211749999999995</v>
      </c>
      <c r="D28" s="8">
        <v>3986</v>
      </c>
      <c r="E28" s="8" t="s">
        <v>49</v>
      </c>
      <c r="F28" s="1" t="s">
        <v>8</v>
      </c>
    </row>
    <row r="29" spans="1:6" x14ac:dyDescent="0.3">
      <c r="A29" s="8" t="s">
        <v>13</v>
      </c>
      <c r="B29" s="8">
        <v>33.460279999999997</v>
      </c>
      <c r="C29" s="8">
        <v>-84.195989999999995</v>
      </c>
      <c r="D29" s="8">
        <v>3986</v>
      </c>
      <c r="E29" s="8" t="s">
        <v>49</v>
      </c>
      <c r="F29" s="1" t="s">
        <v>8</v>
      </c>
    </row>
    <row r="30" spans="1:6" x14ac:dyDescent="0.3">
      <c r="A30" s="8" t="s">
        <v>13</v>
      </c>
      <c r="B30" s="8">
        <v>33.430390000000003</v>
      </c>
      <c r="C30" s="8">
        <v>-84.178319999999999</v>
      </c>
      <c r="D30" s="8">
        <v>3986</v>
      </c>
      <c r="E30" s="8" t="s">
        <v>49</v>
      </c>
      <c r="F30" s="1" t="s">
        <v>8</v>
      </c>
    </row>
    <row r="31" spans="1:6" x14ac:dyDescent="0.3">
      <c r="A31" s="8" t="s">
        <v>13</v>
      </c>
      <c r="B31" s="8">
        <v>33.425269999999998</v>
      </c>
      <c r="C31" s="8">
        <v>-84.184119999999993</v>
      </c>
      <c r="D31" s="8">
        <v>3986</v>
      </c>
      <c r="E31" s="8" t="s">
        <v>49</v>
      </c>
      <c r="F31" s="1" t="s">
        <v>8</v>
      </c>
    </row>
    <row r="32" spans="1:6" x14ac:dyDescent="0.3">
      <c r="A32" s="8" t="s">
        <v>13</v>
      </c>
      <c r="B32" s="8">
        <v>33.413690000000003</v>
      </c>
      <c r="C32" s="8">
        <v>-84.158100000000005</v>
      </c>
      <c r="D32" s="8">
        <v>3986</v>
      </c>
      <c r="E32" s="8" t="s">
        <v>49</v>
      </c>
      <c r="F32" s="1" t="s">
        <v>8</v>
      </c>
    </row>
    <row r="33" spans="1:6" x14ac:dyDescent="0.3">
      <c r="A33" s="8" t="s">
        <v>13</v>
      </c>
      <c r="B33" s="8">
        <v>30.894020000000001</v>
      </c>
      <c r="C33" s="8">
        <v>-83.349000000000004</v>
      </c>
      <c r="D33" s="8">
        <f>5130*3/2</f>
        <v>7695</v>
      </c>
      <c r="E33" s="8" t="s">
        <v>49</v>
      </c>
      <c r="F33" s="1" t="s">
        <v>8</v>
      </c>
    </row>
    <row r="34" spans="1:6" x14ac:dyDescent="0.3">
      <c r="A34" s="8" t="s">
        <v>13</v>
      </c>
      <c r="B34" s="8">
        <v>30.817730000000001</v>
      </c>
      <c r="C34" s="8">
        <v>-83.319119999999998</v>
      </c>
      <c r="D34" s="8">
        <f>5130*3/2</f>
        <v>7695</v>
      </c>
      <c r="E34" s="8" t="s">
        <v>49</v>
      </c>
      <c r="F34" s="1" t="s">
        <v>8</v>
      </c>
    </row>
    <row r="35" spans="1:6" x14ac:dyDescent="0.3">
      <c r="A35" s="8" t="s">
        <v>13</v>
      </c>
      <c r="B35" s="8">
        <v>32.484335880000003</v>
      </c>
      <c r="C35" s="8">
        <v>-82.936004650000001</v>
      </c>
      <c r="D35" s="8">
        <f>2990*3/2</f>
        <v>4485</v>
      </c>
      <c r="E35" s="8" t="s">
        <v>34</v>
      </c>
      <c r="F35" s="1" t="s">
        <v>8</v>
      </c>
    </row>
    <row r="36" spans="1:6" x14ac:dyDescent="0.3">
      <c r="A36" s="8" t="s">
        <v>13</v>
      </c>
      <c r="B36" s="8">
        <v>32.373220000000003</v>
      </c>
      <c r="C36" s="8">
        <v>-82.072730000000007</v>
      </c>
      <c r="D36" s="8">
        <f>2990*3/2</f>
        <v>4485</v>
      </c>
      <c r="E36" s="8" t="s">
        <v>34</v>
      </c>
      <c r="F36" s="1" t="s">
        <v>8</v>
      </c>
    </row>
    <row r="37" spans="1:6" x14ac:dyDescent="0.3">
      <c r="A37" s="8" t="s">
        <v>13</v>
      </c>
      <c r="B37" s="8">
        <v>33.728340000000003</v>
      </c>
      <c r="C37" s="8">
        <v>-84.940799999999996</v>
      </c>
      <c r="D37" s="8">
        <v>1615</v>
      </c>
      <c r="E37" s="8" t="s">
        <v>111</v>
      </c>
      <c r="F37" s="1" t="s">
        <v>8</v>
      </c>
    </row>
    <row r="38" spans="1:6" x14ac:dyDescent="0.3">
      <c r="A38" s="8" t="s">
        <v>13</v>
      </c>
      <c r="B38" s="8">
        <v>33.729819999999997</v>
      </c>
      <c r="C38" s="8">
        <v>-84.761279999999999</v>
      </c>
      <c r="D38" s="8">
        <v>1615</v>
      </c>
      <c r="E38" s="8" t="s">
        <v>111</v>
      </c>
      <c r="F38" s="1" t="s">
        <v>8</v>
      </c>
    </row>
    <row r="39" spans="1:6" x14ac:dyDescent="0.3">
      <c r="A39" s="8" t="s">
        <v>13</v>
      </c>
      <c r="B39" s="8">
        <v>33.751860000000001</v>
      </c>
      <c r="C39" s="8">
        <v>-84.721040000000002</v>
      </c>
      <c r="D39" s="8">
        <v>1615</v>
      </c>
      <c r="E39" s="8" t="s">
        <v>111</v>
      </c>
      <c r="F39" s="1" t="s">
        <v>8</v>
      </c>
    </row>
    <row r="40" spans="1:6" x14ac:dyDescent="0.3">
      <c r="A40" s="8" t="s">
        <v>13</v>
      </c>
      <c r="B40" s="8">
        <v>33.731769999999997</v>
      </c>
      <c r="C40" s="8">
        <v>-84.669449999999998</v>
      </c>
      <c r="D40" s="8">
        <v>1615</v>
      </c>
      <c r="E40" s="8" t="s">
        <v>111</v>
      </c>
      <c r="F40" s="1" t="s">
        <v>8</v>
      </c>
    </row>
    <row r="41" spans="1:6" x14ac:dyDescent="0.3">
      <c r="A41" s="8" t="s">
        <v>13</v>
      </c>
      <c r="B41" s="8">
        <v>33.787950000000002</v>
      </c>
      <c r="C41" s="8">
        <v>-84.617840000000001</v>
      </c>
      <c r="D41" s="8">
        <v>1615</v>
      </c>
      <c r="E41" s="8" t="s">
        <v>111</v>
      </c>
      <c r="F41" s="1" t="s">
        <v>8</v>
      </c>
    </row>
    <row r="42" spans="1:6" x14ac:dyDescent="0.3">
      <c r="A42" s="8" t="s">
        <v>13</v>
      </c>
      <c r="B42" s="8">
        <v>33.77084</v>
      </c>
      <c r="C42" s="8">
        <v>-84.603290000000001</v>
      </c>
      <c r="D42" s="8">
        <v>1615</v>
      </c>
      <c r="E42" s="8" t="s">
        <v>111</v>
      </c>
      <c r="F42" s="1" t="s">
        <v>8</v>
      </c>
    </row>
    <row r="43" spans="1:6" x14ac:dyDescent="0.3">
      <c r="A43" s="8" t="s">
        <v>13</v>
      </c>
      <c r="B43" s="8">
        <v>33.78172</v>
      </c>
      <c r="C43" s="8">
        <v>-84.536090000000002</v>
      </c>
      <c r="D43" s="8">
        <v>1615</v>
      </c>
      <c r="E43" s="8" t="s">
        <v>111</v>
      </c>
      <c r="F43" s="1" t="s">
        <v>8</v>
      </c>
    </row>
    <row r="44" spans="1:6" x14ac:dyDescent="0.3">
      <c r="A44" s="8" t="s">
        <v>13</v>
      </c>
      <c r="B44" s="8">
        <v>33.799889999999998</v>
      </c>
      <c r="C44" s="8">
        <v>-84.513140000000007</v>
      </c>
      <c r="D44" s="8">
        <v>1615</v>
      </c>
      <c r="E44" s="8" t="s">
        <v>111</v>
      </c>
      <c r="F44" s="1" t="s">
        <v>8</v>
      </c>
    </row>
    <row r="45" spans="1:6" x14ac:dyDescent="0.3">
      <c r="A45" s="8" t="s">
        <v>13</v>
      </c>
      <c r="B45" s="8">
        <v>33.723379999999999</v>
      </c>
      <c r="C45" s="8">
        <v>-84.092200000000005</v>
      </c>
      <c r="D45" s="8">
        <v>1615</v>
      </c>
      <c r="E45" s="8" t="s">
        <v>111</v>
      </c>
      <c r="F45" s="1" t="s">
        <v>8</v>
      </c>
    </row>
    <row r="46" spans="1:6" x14ac:dyDescent="0.3">
      <c r="A46" s="8" t="s">
        <v>13</v>
      </c>
      <c r="B46" s="8">
        <v>33.669710000000002</v>
      </c>
      <c r="C46" s="8">
        <v>-83.988140000000001</v>
      </c>
      <c r="D46" s="8">
        <v>1615</v>
      </c>
      <c r="E46" s="8" t="s">
        <v>111</v>
      </c>
      <c r="F46" s="1" t="s">
        <v>8</v>
      </c>
    </row>
    <row r="47" spans="1:6" x14ac:dyDescent="0.3">
      <c r="A47" s="8" t="s">
        <v>13</v>
      </c>
      <c r="B47" s="8">
        <v>33.54097917</v>
      </c>
      <c r="C47" s="8">
        <v>-83.208587690000002</v>
      </c>
      <c r="D47" s="8">
        <f>5828*2</f>
        <v>11656</v>
      </c>
      <c r="E47" s="8" t="s">
        <v>111</v>
      </c>
      <c r="F47" s="1" t="s">
        <v>8</v>
      </c>
    </row>
    <row r="48" spans="1:6" x14ac:dyDescent="0.3">
      <c r="A48" s="8" t="s">
        <v>13</v>
      </c>
      <c r="B48" s="8">
        <v>34.256990000000002</v>
      </c>
      <c r="C48" s="8">
        <v>-83.464759999999998</v>
      </c>
      <c r="D48" s="8">
        <f>2874*5/3</f>
        <v>4790</v>
      </c>
      <c r="E48" s="8" t="s">
        <v>95</v>
      </c>
      <c r="F48" s="1" t="s">
        <v>8</v>
      </c>
    </row>
    <row r="49" spans="1:6" x14ac:dyDescent="0.3">
      <c r="A49" s="8" t="s">
        <v>13</v>
      </c>
      <c r="B49" s="8">
        <v>34.152720000000002</v>
      </c>
      <c r="C49" s="8">
        <v>-83.640450000000001</v>
      </c>
      <c r="D49" s="8">
        <f>2874*5/3</f>
        <v>4790</v>
      </c>
      <c r="E49" s="8" t="s">
        <v>95</v>
      </c>
      <c r="F49" s="1" t="s">
        <v>8</v>
      </c>
    </row>
    <row r="50" spans="1:6" x14ac:dyDescent="0.3">
      <c r="A50" s="8" t="s">
        <v>13</v>
      </c>
      <c r="B50" s="8">
        <v>34.119500000000002</v>
      </c>
      <c r="C50" s="8">
        <v>-83.7637</v>
      </c>
      <c r="D50" s="8">
        <f>2874*5/3</f>
        <v>4790</v>
      </c>
      <c r="E50" s="8" t="s">
        <v>95</v>
      </c>
      <c r="F50" s="1" t="s">
        <v>8</v>
      </c>
    </row>
    <row r="51" spans="1:6" x14ac:dyDescent="0.3">
      <c r="A51" s="8" t="s">
        <v>13</v>
      </c>
      <c r="B51" s="8">
        <v>34.105580000000003</v>
      </c>
      <c r="C51" s="8">
        <v>-84.031379999999999</v>
      </c>
      <c r="D51" s="8">
        <v>2581</v>
      </c>
      <c r="E51" s="8" t="s">
        <v>95</v>
      </c>
      <c r="F51" s="1" t="s">
        <v>8</v>
      </c>
    </row>
    <row r="52" spans="1:6" x14ac:dyDescent="0.3">
      <c r="A52" s="8" t="s">
        <v>13</v>
      </c>
      <c r="B52" s="8">
        <v>34.093069999999997</v>
      </c>
      <c r="C52" s="8">
        <v>-83.810159999999996</v>
      </c>
      <c r="D52" s="8">
        <v>2581</v>
      </c>
      <c r="E52" s="8" t="s">
        <v>95</v>
      </c>
      <c r="F52" s="1" t="s">
        <v>8</v>
      </c>
    </row>
    <row r="53" spans="1:6" x14ac:dyDescent="0.3">
      <c r="A53" s="8" t="s">
        <v>13</v>
      </c>
      <c r="B53" s="8">
        <v>34.045000000000002</v>
      </c>
      <c r="C53" s="8">
        <v>-83.993510000000001</v>
      </c>
      <c r="D53" s="8">
        <v>2581</v>
      </c>
      <c r="E53" s="8" t="s">
        <v>95</v>
      </c>
      <c r="F53" s="1" t="s">
        <v>8</v>
      </c>
    </row>
    <row r="54" spans="1:6" x14ac:dyDescent="0.3">
      <c r="A54" s="8" t="s">
        <v>13</v>
      </c>
      <c r="B54" s="8">
        <v>34.021270000000001</v>
      </c>
      <c r="C54" s="8">
        <v>-84.119479999999996</v>
      </c>
      <c r="D54" s="8">
        <v>2581</v>
      </c>
      <c r="E54" s="8" t="s">
        <v>95</v>
      </c>
      <c r="F54" s="1" t="s">
        <v>8</v>
      </c>
    </row>
    <row r="55" spans="1:6" x14ac:dyDescent="0.3">
      <c r="A55" s="8" t="s">
        <v>13</v>
      </c>
      <c r="B55" s="8">
        <v>33.96978</v>
      </c>
      <c r="C55" s="8">
        <v>-84.2453</v>
      </c>
      <c r="D55" s="8">
        <v>2581</v>
      </c>
      <c r="E55" s="8" t="s">
        <v>95</v>
      </c>
      <c r="F55" s="1" t="s">
        <v>8</v>
      </c>
    </row>
    <row r="56" spans="1:6" x14ac:dyDescent="0.3">
      <c r="A56" s="8" t="s">
        <v>13</v>
      </c>
      <c r="B56" s="8">
        <v>33.961179999999999</v>
      </c>
      <c r="C56" s="8">
        <v>-84.226150000000004</v>
      </c>
      <c r="D56" s="8">
        <v>2581</v>
      </c>
      <c r="E56" s="8" t="s">
        <v>95</v>
      </c>
      <c r="F56" s="1" t="s">
        <v>8</v>
      </c>
    </row>
    <row r="57" spans="1:6" x14ac:dyDescent="0.3">
      <c r="A57" s="8" t="s">
        <v>13</v>
      </c>
      <c r="B57" s="8">
        <v>33.960349999999998</v>
      </c>
      <c r="C57" s="8">
        <v>-84.005600000000001</v>
      </c>
      <c r="D57" s="8">
        <v>2581</v>
      </c>
      <c r="E57" s="8" t="s">
        <v>95</v>
      </c>
      <c r="F57" s="1" t="s">
        <v>8</v>
      </c>
    </row>
    <row r="58" spans="1:6" x14ac:dyDescent="0.3">
      <c r="A58" s="8" t="s">
        <v>13</v>
      </c>
      <c r="B58" s="8">
        <v>33.954459999999997</v>
      </c>
      <c r="C58" s="8">
        <v>-84.219669999999994</v>
      </c>
      <c r="D58" s="8">
        <v>2581</v>
      </c>
      <c r="E58" s="8" t="s">
        <v>95</v>
      </c>
      <c r="F58" s="1" t="s">
        <v>8</v>
      </c>
    </row>
    <row r="59" spans="1:6" x14ac:dyDescent="0.3">
      <c r="A59" s="8" t="s">
        <v>13</v>
      </c>
      <c r="B59" s="8">
        <v>33.942979999999999</v>
      </c>
      <c r="C59" s="8">
        <v>-84.238249999999994</v>
      </c>
      <c r="D59" s="8">
        <v>2581</v>
      </c>
      <c r="E59" s="8" t="s">
        <v>95</v>
      </c>
      <c r="F59" s="1" t="s">
        <v>8</v>
      </c>
    </row>
    <row r="60" spans="1:6" x14ac:dyDescent="0.3">
      <c r="A60" s="8" t="s">
        <v>13</v>
      </c>
      <c r="B60" s="8">
        <v>33.935009999999998</v>
      </c>
      <c r="C60" s="8">
        <v>-84.156850000000006</v>
      </c>
      <c r="D60" s="8">
        <v>2581</v>
      </c>
      <c r="E60" s="8" t="s">
        <v>95</v>
      </c>
      <c r="F60" s="1" t="s">
        <v>8</v>
      </c>
    </row>
    <row r="61" spans="1:6" x14ac:dyDescent="0.3">
      <c r="A61" s="8" t="s">
        <v>13</v>
      </c>
      <c r="B61" s="8">
        <v>33.925429999999999</v>
      </c>
      <c r="C61" s="8">
        <v>-84.113429999999994</v>
      </c>
      <c r="D61" s="8">
        <v>2581</v>
      </c>
      <c r="E61" s="8" t="s">
        <v>95</v>
      </c>
      <c r="F61" s="1" t="s">
        <v>8</v>
      </c>
    </row>
    <row r="62" spans="1:6" x14ac:dyDescent="0.3">
      <c r="A62" s="8" t="s">
        <v>13</v>
      </c>
      <c r="B62" s="8">
        <v>33.924489999999999</v>
      </c>
      <c r="C62" s="8">
        <v>-84.017330000000001</v>
      </c>
      <c r="D62" s="8">
        <v>2581</v>
      </c>
      <c r="E62" s="8" t="s">
        <v>95</v>
      </c>
      <c r="F62" s="1" t="s">
        <v>8</v>
      </c>
    </row>
    <row r="63" spans="1:6" x14ac:dyDescent="0.3">
      <c r="A63" s="8" t="s">
        <v>13</v>
      </c>
      <c r="B63" s="8">
        <v>33.866030000000002</v>
      </c>
      <c r="C63" s="8">
        <v>-84.310050000000004</v>
      </c>
      <c r="D63" s="8">
        <v>2581</v>
      </c>
      <c r="E63" s="8" t="s">
        <v>95</v>
      </c>
      <c r="F63" s="1" t="s">
        <v>8</v>
      </c>
    </row>
    <row r="64" spans="1:6" x14ac:dyDescent="0.3">
      <c r="A64" s="8" t="s">
        <v>13</v>
      </c>
      <c r="B64" s="8">
        <v>33.65842</v>
      </c>
      <c r="C64" s="8">
        <v>-84.427760000000006</v>
      </c>
      <c r="D64" s="8">
        <v>4080</v>
      </c>
      <c r="E64" s="8" t="s">
        <v>95</v>
      </c>
      <c r="F64" s="1" t="s">
        <v>8</v>
      </c>
    </row>
    <row r="65" spans="1:6" x14ac:dyDescent="0.3">
      <c r="A65" s="8" t="s">
        <v>13</v>
      </c>
      <c r="B65" s="8">
        <v>33.658329999999999</v>
      </c>
      <c r="C65" s="8">
        <v>-84.427719999999994</v>
      </c>
      <c r="D65" s="8">
        <v>4080</v>
      </c>
      <c r="E65" s="8" t="s">
        <v>95</v>
      </c>
      <c r="F65" s="1" t="s">
        <v>8</v>
      </c>
    </row>
    <row r="66" spans="1:6" x14ac:dyDescent="0.3">
      <c r="A66" s="8" t="s">
        <v>13</v>
      </c>
      <c r="B66" s="8">
        <v>33.64884</v>
      </c>
      <c r="C66" s="8">
        <v>-84.462999999999994</v>
      </c>
      <c r="D66" s="8">
        <v>4080</v>
      </c>
      <c r="E66" s="8" t="s">
        <v>95</v>
      </c>
      <c r="F66" s="1" t="s">
        <v>8</v>
      </c>
    </row>
    <row r="67" spans="1:6" x14ac:dyDescent="0.3">
      <c r="A67" s="8" t="s">
        <v>13</v>
      </c>
      <c r="B67" s="8">
        <v>33.568620000000003</v>
      </c>
      <c r="C67" s="8">
        <v>-84.526650000000004</v>
      </c>
      <c r="D67" s="8">
        <v>4080</v>
      </c>
      <c r="E67" s="8" t="s">
        <v>95</v>
      </c>
      <c r="F67" s="1" t="s">
        <v>8</v>
      </c>
    </row>
    <row r="68" spans="1:6" x14ac:dyDescent="0.3">
      <c r="A68" s="8" t="s">
        <v>13</v>
      </c>
      <c r="B68" s="8">
        <v>33.541989999999998</v>
      </c>
      <c r="C68" s="8">
        <v>-84.577809999999999</v>
      </c>
      <c r="D68" s="8">
        <v>4080</v>
      </c>
      <c r="E68" s="8" t="s">
        <v>95</v>
      </c>
      <c r="F68" s="1" t="s">
        <v>8</v>
      </c>
    </row>
    <row r="69" spans="1:6" x14ac:dyDescent="0.3">
      <c r="A69" s="8" t="s">
        <v>13</v>
      </c>
      <c r="B69" s="8">
        <v>33.39734</v>
      </c>
      <c r="C69" s="8">
        <v>-84.753280000000004</v>
      </c>
      <c r="D69" s="8">
        <f>ROUNDUP(2474*4/3,0)</f>
        <v>3299</v>
      </c>
      <c r="E69" s="8" t="s">
        <v>95</v>
      </c>
      <c r="F69" s="1" t="s">
        <v>8</v>
      </c>
    </row>
    <row r="70" spans="1:6" x14ac:dyDescent="0.3">
      <c r="A70" s="8" t="s">
        <v>13</v>
      </c>
      <c r="B70" s="8">
        <v>33.359830000000002</v>
      </c>
      <c r="C70" s="8">
        <v>-84.752170000000007</v>
      </c>
      <c r="D70" s="8">
        <f>ROUNDUP(2474*4/3,0)</f>
        <v>3299</v>
      </c>
      <c r="E70" s="8" t="s">
        <v>95</v>
      </c>
      <c r="F70" s="1" t="s">
        <v>8</v>
      </c>
    </row>
    <row r="71" spans="1:6" x14ac:dyDescent="0.3">
      <c r="A71" s="8" t="s">
        <v>13</v>
      </c>
      <c r="B71" s="8">
        <v>33.042839999999998</v>
      </c>
      <c r="C71" s="8">
        <v>-84.976089999999999</v>
      </c>
      <c r="D71" s="8">
        <f>ROUNDUP(2474*4/3,0)</f>
        <v>3299</v>
      </c>
      <c r="E71" s="8" t="s">
        <v>95</v>
      </c>
      <c r="F7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5E860-FEC2-4D32-A858-989B0CF7FBA4}">
  <dimension ref="A1:F124"/>
  <sheetViews>
    <sheetView tabSelected="1" topLeftCell="A110" workbookViewId="0">
      <selection activeCell="M116" sqref="M116"/>
    </sheetView>
  </sheetViews>
  <sheetFormatPr defaultColWidth="8.88671875" defaultRowHeight="14.4" x14ac:dyDescent="0.3"/>
  <cols>
    <col min="1" max="1" width="24" customWidth="1"/>
    <col min="6" max="6" width="18.33203125" style="11" customWidth="1"/>
  </cols>
  <sheetData>
    <row r="1" spans="1:6" x14ac:dyDescent="0.3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0" t="s">
        <v>5</v>
      </c>
    </row>
    <row r="2" spans="1:6" ht="28.8" x14ac:dyDescent="0.3">
      <c r="A2" s="6" t="s">
        <v>126</v>
      </c>
      <c r="B2" s="7">
        <v>34.2711366267473</v>
      </c>
      <c r="C2" s="7">
        <v>-84.771557759293401</v>
      </c>
      <c r="D2">
        <v>480</v>
      </c>
      <c r="E2" t="s">
        <v>49</v>
      </c>
      <c r="F2" s="11" t="s">
        <v>246</v>
      </c>
    </row>
    <row r="3" spans="1:6" ht="28.8" x14ac:dyDescent="0.3">
      <c r="A3" s="6" t="s">
        <v>127</v>
      </c>
      <c r="B3" s="7">
        <v>32.076842418258202</v>
      </c>
      <c r="C3" s="7">
        <v>-81.221293281095896</v>
      </c>
      <c r="D3">
        <v>480</v>
      </c>
      <c r="E3" t="s">
        <v>34</v>
      </c>
      <c r="F3" s="11" t="s">
        <v>246</v>
      </c>
    </row>
    <row r="4" spans="1:6" ht="28.8" x14ac:dyDescent="0.3">
      <c r="A4" s="6" t="s">
        <v>128</v>
      </c>
      <c r="B4" s="7">
        <v>32.7214821514657</v>
      </c>
      <c r="C4" s="7">
        <v>-83.723942157193207</v>
      </c>
      <c r="D4">
        <v>480</v>
      </c>
      <c r="E4" t="s">
        <v>49</v>
      </c>
      <c r="F4" s="11" t="s">
        <v>246</v>
      </c>
    </row>
    <row r="5" spans="1:6" ht="28.8" x14ac:dyDescent="0.3">
      <c r="A5" s="6" t="s">
        <v>129</v>
      </c>
      <c r="B5" s="7">
        <v>33.646852613543402</v>
      </c>
      <c r="C5" s="7">
        <v>-84.501896453421907</v>
      </c>
      <c r="D5">
        <v>480</v>
      </c>
      <c r="E5" t="s">
        <v>95</v>
      </c>
      <c r="F5" s="11" t="s">
        <v>246</v>
      </c>
    </row>
    <row r="6" spans="1:6" ht="28.8" x14ac:dyDescent="0.3">
      <c r="A6" s="6" t="s">
        <v>130</v>
      </c>
      <c r="B6" s="7">
        <v>34.142926569368498</v>
      </c>
      <c r="C6" s="7">
        <v>-83.962563412109006</v>
      </c>
      <c r="D6">
        <v>480</v>
      </c>
      <c r="E6" t="s">
        <v>95</v>
      </c>
      <c r="F6" s="11" t="s">
        <v>246</v>
      </c>
    </row>
    <row r="7" spans="1:6" ht="28.8" x14ac:dyDescent="0.3">
      <c r="A7" s="6" t="s">
        <v>131</v>
      </c>
      <c r="B7" s="7">
        <v>34.107419626372398</v>
      </c>
      <c r="C7" s="7">
        <v>-83.772274515847599</v>
      </c>
      <c r="D7">
        <v>480</v>
      </c>
      <c r="E7" t="s">
        <v>95</v>
      </c>
      <c r="F7" s="11" t="s">
        <v>246</v>
      </c>
    </row>
    <row r="8" spans="1:6" ht="28.8" x14ac:dyDescent="0.3">
      <c r="A8" s="6" t="s">
        <v>132</v>
      </c>
      <c r="B8" s="7">
        <v>34.156624801717797</v>
      </c>
      <c r="C8" s="7">
        <v>-83.638351344036593</v>
      </c>
      <c r="D8">
        <v>480</v>
      </c>
      <c r="E8" t="s">
        <v>95</v>
      </c>
      <c r="F8" s="11" t="s">
        <v>246</v>
      </c>
    </row>
    <row r="9" spans="1:6" ht="28.8" x14ac:dyDescent="0.3">
      <c r="A9" s="6" t="s">
        <v>133</v>
      </c>
      <c r="B9" s="7">
        <v>34.163017199158702</v>
      </c>
      <c r="C9" s="7">
        <v>-83.628221057849203</v>
      </c>
      <c r="D9">
        <v>480</v>
      </c>
      <c r="E9" t="s">
        <v>95</v>
      </c>
      <c r="F9" s="11" t="s">
        <v>246</v>
      </c>
    </row>
    <row r="10" spans="1:6" ht="28.8" x14ac:dyDescent="0.3">
      <c r="A10" s="6" t="s">
        <v>134</v>
      </c>
      <c r="B10" s="7">
        <v>34.1757447711555</v>
      </c>
      <c r="C10" s="7">
        <v>-83.650800891243804</v>
      </c>
      <c r="D10">
        <v>480</v>
      </c>
      <c r="E10" t="s">
        <v>95</v>
      </c>
      <c r="F10" s="11" t="s">
        <v>246</v>
      </c>
    </row>
    <row r="11" spans="1:6" ht="28.8" x14ac:dyDescent="0.3">
      <c r="A11" s="6" t="s">
        <v>135</v>
      </c>
      <c r="B11" s="7">
        <v>33.5014584208133</v>
      </c>
      <c r="C11" s="7">
        <v>-82.323447999197398</v>
      </c>
      <c r="D11">
        <v>480</v>
      </c>
      <c r="E11" t="s">
        <v>111</v>
      </c>
      <c r="F11" s="11" t="s">
        <v>246</v>
      </c>
    </row>
    <row r="12" spans="1:6" ht="28.8" x14ac:dyDescent="0.3">
      <c r="A12" s="6" t="s">
        <v>136</v>
      </c>
      <c r="B12" s="7">
        <v>33.744693436210397</v>
      </c>
      <c r="C12" s="7">
        <v>-84.592299485140998</v>
      </c>
      <c r="D12">
        <v>480</v>
      </c>
      <c r="E12" t="s">
        <v>111</v>
      </c>
      <c r="F12" s="11" t="s">
        <v>246</v>
      </c>
    </row>
    <row r="13" spans="1:6" ht="28.8" x14ac:dyDescent="0.3">
      <c r="A13" s="6" t="s">
        <v>137</v>
      </c>
      <c r="B13" s="7">
        <v>33.815527399608797</v>
      </c>
      <c r="C13" s="7">
        <v>-84.115005851836798</v>
      </c>
      <c r="D13">
        <v>480</v>
      </c>
      <c r="E13" t="s">
        <v>111</v>
      </c>
      <c r="F13" s="11" t="s">
        <v>246</v>
      </c>
    </row>
    <row r="14" spans="1:6" ht="28.8" x14ac:dyDescent="0.3">
      <c r="A14" s="6" t="s">
        <v>138</v>
      </c>
      <c r="B14" s="7">
        <v>33.3273138566706</v>
      </c>
      <c r="C14" s="7">
        <v>-84.782406510774805</v>
      </c>
      <c r="D14">
        <v>480</v>
      </c>
      <c r="E14" t="s">
        <v>95</v>
      </c>
      <c r="F14" s="11" t="s">
        <v>246</v>
      </c>
    </row>
    <row r="15" spans="1:6" ht="28.8" x14ac:dyDescent="0.3">
      <c r="A15" s="6" t="s">
        <v>139</v>
      </c>
      <c r="B15" s="7">
        <v>33.562372149312502</v>
      </c>
      <c r="C15" s="7">
        <v>-84.542626286871396</v>
      </c>
      <c r="D15">
        <v>480</v>
      </c>
      <c r="E15" t="s">
        <v>95</v>
      </c>
      <c r="F15" s="11" t="s">
        <v>246</v>
      </c>
    </row>
    <row r="16" spans="1:6" x14ac:dyDescent="0.3">
      <c r="A16" s="6" t="s">
        <v>140</v>
      </c>
      <c r="B16" s="7">
        <v>33.631930625028502</v>
      </c>
      <c r="C16" s="7">
        <v>-84.5778036403171</v>
      </c>
      <c r="D16">
        <v>480</v>
      </c>
      <c r="E16" t="s">
        <v>95</v>
      </c>
      <c r="F16" s="11" t="s">
        <v>247</v>
      </c>
    </row>
    <row r="17" spans="1:6" ht="28.8" x14ac:dyDescent="0.3">
      <c r="A17" s="6" t="s">
        <v>141</v>
      </c>
      <c r="B17" s="7">
        <v>31.502600955440201</v>
      </c>
      <c r="C17" s="7">
        <v>-82.865665815488896</v>
      </c>
      <c r="D17">
        <v>480</v>
      </c>
      <c r="E17" t="s">
        <v>49</v>
      </c>
      <c r="F17" s="11" t="s">
        <v>247</v>
      </c>
    </row>
    <row r="18" spans="1:6" ht="28.8" x14ac:dyDescent="0.3">
      <c r="A18" s="6" t="s">
        <v>142</v>
      </c>
      <c r="B18" s="7">
        <v>32.393734655349398</v>
      </c>
      <c r="C18" s="7">
        <v>-81.839104644117995</v>
      </c>
      <c r="D18">
        <v>480</v>
      </c>
      <c r="E18" t="s">
        <v>34</v>
      </c>
      <c r="F18" s="11" t="s">
        <v>247</v>
      </c>
    </row>
    <row r="19" spans="1:6" ht="28.8" x14ac:dyDescent="0.3">
      <c r="A19" s="6" t="s">
        <v>141</v>
      </c>
      <c r="B19" s="7">
        <v>33.033221582581703</v>
      </c>
      <c r="C19" s="7">
        <v>-84.959155956503594</v>
      </c>
      <c r="D19">
        <v>480</v>
      </c>
      <c r="E19" t="s">
        <v>95</v>
      </c>
      <c r="F19" s="11" t="s">
        <v>247</v>
      </c>
    </row>
    <row r="20" spans="1:6" x14ac:dyDescent="0.3">
      <c r="A20" s="6" t="s">
        <v>143</v>
      </c>
      <c r="B20" s="7">
        <v>33.6424035433567</v>
      </c>
      <c r="C20" s="7">
        <v>-85.119969040855096</v>
      </c>
      <c r="D20">
        <v>480</v>
      </c>
      <c r="E20" t="s">
        <v>111</v>
      </c>
      <c r="F20" s="11" t="s">
        <v>247</v>
      </c>
    </row>
    <row r="21" spans="1:6" x14ac:dyDescent="0.3">
      <c r="A21" s="6" t="s">
        <v>143</v>
      </c>
      <c r="B21" s="7">
        <v>33.6291083112244</v>
      </c>
      <c r="C21" s="7">
        <v>-84.577588909381106</v>
      </c>
      <c r="D21">
        <v>480</v>
      </c>
      <c r="E21" t="s">
        <v>95</v>
      </c>
      <c r="F21" s="11" t="s">
        <v>247</v>
      </c>
    </row>
    <row r="22" spans="1:6" ht="28.8" x14ac:dyDescent="0.3">
      <c r="A22" s="6" t="s">
        <v>144</v>
      </c>
      <c r="B22" s="7">
        <v>33.810294230905498</v>
      </c>
      <c r="C22" s="7">
        <v>-83.679176273798703</v>
      </c>
      <c r="D22">
        <v>480</v>
      </c>
      <c r="E22" t="s">
        <v>111</v>
      </c>
      <c r="F22" s="11" t="s">
        <v>247</v>
      </c>
    </row>
    <row r="23" spans="1:6" x14ac:dyDescent="0.3">
      <c r="A23" s="6" t="s">
        <v>145</v>
      </c>
      <c r="B23" s="7">
        <v>33.2279597719469</v>
      </c>
      <c r="C23" s="7">
        <v>-84.287082666459199</v>
      </c>
      <c r="D23">
        <v>80</v>
      </c>
      <c r="E23" t="s">
        <v>49</v>
      </c>
      <c r="F23" s="11" t="s">
        <v>248</v>
      </c>
    </row>
    <row r="24" spans="1:6" ht="28.8" x14ac:dyDescent="0.3">
      <c r="A24" s="6" t="s">
        <v>146</v>
      </c>
      <c r="B24" s="7">
        <v>32.625820930568501</v>
      </c>
      <c r="C24" s="7">
        <v>-83.364663361339197</v>
      </c>
      <c r="D24">
        <v>80</v>
      </c>
      <c r="E24" t="s">
        <v>34</v>
      </c>
      <c r="F24" s="11" t="s">
        <v>248</v>
      </c>
    </row>
    <row r="25" spans="1:6" x14ac:dyDescent="0.3">
      <c r="A25" s="6" t="s">
        <v>147</v>
      </c>
      <c r="B25" s="7">
        <v>34.1778176084118</v>
      </c>
      <c r="C25" s="7">
        <v>-83.625113588793994</v>
      </c>
      <c r="D25">
        <v>80</v>
      </c>
      <c r="E25" t="s">
        <v>95</v>
      </c>
      <c r="F25" s="11" t="s">
        <v>248</v>
      </c>
    </row>
    <row r="26" spans="1:6" ht="28.8" x14ac:dyDescent="0.3">
      <c r="A26" s="6" t="s">
        <v>148</v>
      </c>
      <c r="B26" s="7">
        <v>34.274707077948101</v>
      </c>
      <c r="C26" s="7">
        <v>-83.827809880929394</v>
      </c>
      <c r="D26">
        <v>80</v>
      </c>
      <c r="E26" t="s">
        <v>95</v>
      </c>
      <c r="F26" s="11" t="s">
        <v>248</v>
      </c>
    </row>
    <row r="27" spans="1:6" x14ac:dyDescent="0.3">
      <c r="A27" s="6" t="s">
        <v>149</v>
      </c>
      <c r="B27" s="7">
        <v>33.912400280586802</v>
      </c>
      <c r="C27" s="7">
        <v>-84.248588901400097</v>
      </c>
      <c r="D27">
        <v>80</v>
      </c>
      <c r="E27" t="s">
        <v>95</v>
      </c>
      <c r="F27" s="11" t="s">
        <v>248</v>
      </c>
    </row>
    <row r="28" spans="1:6" x14ac:dyDescent="0.3">
      <c r="A28" s="6" t="s">
        <v>150</v>
      </c>
      <c r="B28" s="7">
        <v>33.6846277693028</v>
      </c>
      <c r="C28" s="7">
        <v>-84.322738611843207</v>
      </c>
      <c r="D28">
        <v>80</v>
      </c>
      <c r="E28" t="s">
        <v>111</v>
      </c>
      <c r="F28" s="11" t="s">
        <v>248</v>
      </c>
    </row>
    <row r="29" spans="1:6" x14ac:dyDescent="0.3">
      <c r="A29" s="6" t="s">
        <v>151</v>
      </c>
      <c r="B29" s="7">
        <v>33.739441100004598</v>
      </c>
      <c r="C29" s="7">
        <v>-84.598565901960399</v>
      </c>
      <c r="D29">
        <v>80</v>
      </c>
      <c r="E29" t="s">
        <v>111</v>
      </c>
      <c r="F29" s="11" t="s">
        <v>248</v>
      </c>
    </row>
    <row r="30" spans="1:6" ht="28.8" x14ac:dyDescent="0.3">
      <c r="A30" s="6" t="s">
        <v>152</v>
      </c>
      <c r="B30" s="7">
        <v>34.419991379086198</v>
      </c>
      <c r="C30" s="7">
        <v>-83.104903386911502</v>
      </c>
      <c r="D30">
        <v>80</v>
      </c>
      <c r="E30" t="s">
        <v>95</v>
      </c>
      <c r="F30" s="11" t="s">
        <v>248</v>
      </c>
    </row>
    <row r="31" spans="1:6" x14ac:dyDescent="0.3">
      <c r="A31" s="6" t="s">
        <v>153</v>
      </c>
      <c r="B31" s="7">
        <v>32.228833103731603</v>
      </c>
      <c r="C31" s="7">
        <v>-81.205933531219998</v>
      </c>
      <c r="D31">
        <v>80</v>
      </c>
      <c r="E31" t="s">
        <v>7</v>
      </c>
      <c r="F31" s="11" t="s">
        <v>248</v>
      </c>
    </row>
    <row r="32" spans="1:6" ht="28.8" x14ac:dyDescent="0.3">
      <c r="A32" s="6" t="s">
        <v>154</v>
      </c>
      <c r="B32" s="7">
        <v>33.467735083769298</v>
      </c>
      <c r="C32" s="7">
        <v>-82.179316082493003</v>
      </c>
      <c r="D32">
        <v>80</v>
      </c>
      <c r="E32" t="s">
        <v>111</v>
      </c>
      <c r="F32" s="11" t="s">
        <v>248</v>
      </c>
    </row>
    <row r="33" spans="1:6" x14ac:dyDescent="0.3">
      <c r="A33" s="6" t="s">
        <v>155</v>
      </c>
      <c r="B33" s="7">
        <v>32.522095076046803</v>
      </c>
      <c r="C33" s="7">
        <v>-82.947430524279198</v>
      </c>
      <c r="D33">
        <v>80</v>
      </c>
      <c r="E33" t="s">
        <v>34</v>
      </c>
      <c r="F33" s="11" t="s">
        <v>248</v>
      </c>
    </row>
    <row r="34" spans="1:6" x14ac:dyDescent="0.3">
      <c r="A34" s="6" t="s">
        <v>156</v>
      </c>
      <c r="B34" s="7">
        <v>33.966988011536998</v>
      </c>
      <c r="C34" s="7">
        <v>-83.971596641190601</v>
      </c>
      <c r="D34">
        <v>80</v>
      </c>
      <c r="E34" t="s">
        <v>95</v>
      </c>
      <c r="F34" s="11" t="s">
        <v>248</v>
      </c>
    </row>
    <row r="35" spans="1:6" x14ac:dyDescent="0.3">
      <c r="A35" s="6" t="s">
        <v>157</v>
      </c>
      <c r="B35" s="7">
        <v>33.303964167595801</v>
      </c>
      <c r="C35" s="7">
        <v>-83.375747472357901</v>
      </c>
      <c r="D35">
        <v>80</v>
      </c>
      <c r="E35" t="s">
        <v>111</v>
      </c>
      <c r="F35" s="11" t="s">
        <v>248</v>
      </c>
    </row>
    <row r="36" spans="1:6" x14ac:dyDescent="0.3">
      <c r="A36" s="6" t="s">
        <v>158</v>
      </c>
      <c r="B36" s="7">
        <v>32.186034295245797</v>
      </c>
      <c r="C36" s="7">
        <v>-81.437911167134303</v>
      </c>
      <c r="D36">
        <v>80</v>
      </c>
      <c r="E36" t="s">
        <v>34</v>
      </c>
      <c r="F36" s="11" t="s">
        <v>248</v>
      </c>
    </row>
    <row r="37" spans="1:6" ht="28.8" x14ac:dyDescent="0.3">
      <c r="A37" s="6" t="s">
        <v>159</v>
      </c>
      <c r="B37" s="7">
        <v>33.517769955046397</v>
      </c>
      <c r="C37" s="7">
        <v>-84.200785876846197</v>
      </c>
      <c r="D37">
        <v>80</v>
      </c>
      <c r="E37" t="s">
        <v>49</v>
      </c>
      <c r="F37" s="11" t="s">
        <v>248</v>
      </c>
    </row>
    <row r="38" spans="1:6" ht="28.8" x14ac:dyDescent="0.3">
      <c r="A38" s="6" t="s">
        <v>159</v>
      </c>
      <c r="B38" s="7">
        <v>34.115838264828</v>
      </c>
      <c r="C38" s="7">
        <v>-83.779373783875101</v>
      </c>
      <c r="D38">
        <v>80</v>
      </c>
      <c r="E38" t="s">
        <v>95</v>
      </c>
      <c r="F38" s="11" t="s">
        <v>248</v>
      </c>
    </row>
    <row r="39" spans="1:6" ht="28.8" x14ac:dyDescent="0.3">
      <c r="A39" s="6" t="s">
        <v>160</v>
      </c>
      <c r="B39" s="7">
        <v>33.766425641983403</v>
      </c>
      <c r="C39" s="7">
        <v>-84.575081170815395</v>
      </c>
      <c r="D39">
        <v>80</v>
      </c>
      <c r="E39" t="s">
        <v>111</v>
      </c>
      <c r="F39" s="11" t="s">
        <v>248</v>
      </c>
    </row>
    <row r="40" spans="1:6" x14ac:dyDescent="0.3">
      <c r="A40" s="6" t="s">
        <v>161</v>
      </c>
      <c r="B40" s="7">
        <v>33.7317592698789</v>
      </c>
      <c r="C40" s="7">
        <v>-84.1178943135818</v>
      </c>
      <c r="D40">
        <v>80</v>
      </c>
      <c r="E40" t="s">
        <v>111</v>
      </c>
      <c r="F40" s="11" t="s">
        <v>248</v>
      </c>
    </row>
    <row r="41" spans="1:6" x14ac:dyDescent="0.3">
      <c r="A41" s="6" t="s">
        <v>161</v>
      </c>
      <c r="B41" s="7">
        <v>33.645595450412799</v>
      </c>
      <c r="C41" s="7">
        <v>-83.693283019674894</v>
      </c>
      <c r="D41">
        <v>80</v>
      </c>
      <c r="E41" t="s">
        <v>111</v>
      </c>
      <c r="F41" s="11" t="s">
        <v>248</v>
      </c>
    </row>
    <row r="42" spans="1:6" x14ac:dyDescent="0.3">
      <c r="A42" s="6" t="s">
        <v>162</v>
      </c>
      <c r="B42" s="7">
        <v>33.537356774912297</v>
      </c>
      <c r="C42" s="7">
        <v>-84.595032945380495</v>
      </c>
      <c r="D42">
        <v>480</v>
      </c>
      <c r="E42" t="s">
        <v>95</v>
      </c>
      <c r="F42" s="11" t="s">
        <v>248</v>
      </c>
    </row>
    <row r="43" spans="1:6" x14ac:dyDescent="0.3">
      <c r="A43" s="6" t="s">
        <v>162</v>
      </c>
      <c r="B43" s="7">
        <v>33.574459347843501</v>
      </c>
      <c r="C43" s="7">
        <v>-84.5355076222245</v>
      </c>
      <c r="D43">
        <v>480</v>
      </c>
      <c r="E43" t="s">
        <v>95</v>
      </c>
      <c r="F43" s="11" t="s">
        <v>248</v>
      </c>
    </row>
    <row r="44" spans="1:6" ht="28.8" x14ac:dyDescent="0.3">
      <c r="A44" s="6" t="s">
        <v>163</v>
      </c>
      <c r="B44" s="7">
        <v>33.535356159808799</v>
      </c>
      <c r="C44" s="7">
        <v>-84.595951991426205</v>
      </c>
      <c r="D44">
        <v>480</v>
      </c>
      <c r="E44" t="s">
        <v>95</v>
      </c>
      <c r="F44" s="11" t="s">
        <v>248</v>
      </c>
    </row>
    <row r="45" spans="1:6" ht="28.8" x14ac:dyDescent="0.3">
      <c r="A45" s="6" t="s">
        <v>164</v>
      </c>
      <c r="B45" s="7">
        <v>33.6485573883377</v>
      </c>
      <c r="C45" s="7">
        <v>-84.504030446180906</v>
      </c>
      <c r="D45">
        <v>80</v>
      </c>
      <c r="E45" t="s">
        <v>95</v>
      </c>
      <c r="F45" s="11" t="s">
        <v>248</v>
      </c>
    </row>
    <row r="46" spans="1:6" x14ac:dyDescent="0.3">
      <c r="A46" s="6" t="s">
        <v>165</v>
      </c>
      <c r="B46" s="7">
        <v>33.624594337097903</v>
      </c>
      <c r="C46" s="7">
        <v>-84.541155353329799</v>
      </c>
      <c r="D46">
        <v>80</v>
      </c>
      <c r="E46" t="s">
        <v>95</v>
      </c>
      <c r="F46" s="11" t="s">
        <v>248</v>
      </c>
    </row>
    <row r="47" spans="1:6" x14ac:dyDescent="0.3">
      <c r="A47" s="6" t="s">
        <v>166</v>
      </c>
      <c r="B47" s="7">
        <v>32.110865184665599</v>
      </c>
      <c r="C47" s="7">
        <v>-81.140736687604203</v>
      </c>
      <c r="D47">
        <v>80</v>
      </c>
      <c r="E47" t="s">
        <v>7</v>
      </c>
      <c r="F47" s="11" t="s">
        <v>248</v>
      </c>
    </row>
    <row r="48" spans="1:6" x14ac:dyDescent="0.3">
      <c r="A48" s="6" t="s">
        <v>167</v>
      </c>
      <c r="B48" s="7">
        <v>33.7709564567919</v>
      </c>
      <c r="C48" s="7">
        <v>-84.580429873508507</v>
      </c>
      <c r="D48">
        <v>80</v>
      </c>
      <c r="E48" t="s">
        <v>111</v>
      </c>
      <c r="F48" s="11" t="s">
        <v>248</v>
      </c>
    </row>
    <row r="49" spans="1:6" x14ac:dyDescent="0.3">
      <c r="A49" s="6" t="s">
        <v>168</v>
      </c>
      <c r="B49" s="7">
        <v>34.028167407894898</v>
      </c>
      <c r="C49" s="7">
        <v>-84.038118911063904</v>
      </c>
      <c r="D49">
        <v>80</v>
      </c>
      <c r="E49" t="s">
        <v>95</v>
      </c>
      <c r="F49" s="11" t="s">
        <v>248</v>
      </c>
    </row>
    <row r="50" spans="1:6" x14ac:dyDescent="0.3">
      <c r="A50" s="6" t="s">
        <v>169</v>
      </c>
      <c r="B50" s="7">
        <v>32.681399746861601</v>
      </c>
      <c r="C50" s="7">
        <v>-83.647702532578705</v>
      </c>
      <c r="D50">
        <v>80</v>
      </c>
      <c r="E50" t="s">
        <v>49</v>
      </c>
      <c r="F50" s="11" t="s">
        <v>248</v>
      </c>
    </row>
    <row r="51" spans="1:6" x14ac:dyDescent="0.3">
      <c r="A51" s="6" t="s">
        <v>170</v>
      </c>
      <c r="B51" s="7">
        <v>33.3992691557781</v>
      </c>
      <c r="C51" s="7">
        <v>-84.138950074331305</v>
      </c>
      <c r="D51">
        <v>80</v>
      </c>
      <c r="E51" t="s">
        <v>49</v>
      </c>
      <c r="F51" s="11" t="s">
        <v>248</v>
      </c>
    </row>
    <row r="52" spans="1:6" x14ac:dyDescent="0.3">
      <c r="A52" s="6" t="s">
        <v>171</v>
      </c>
      <c r="B52" s="7">
        <v>34.114180907234399</v>
      </c>
      <c r="C52" s="7">
        <v>-83.981066996119793</v>
      </c>
      <c r="D52">
        <v>80</v>
      </c>
      <c r="E52" t="s">
        <v>95</v>
      </c>
      <c r="F52" s="11" t="s">
        <v>248</v>
      </c>
    </row>
    <row r="53" spans="1:6" x14ac:dyDescent="0.3">
      <c r="A53" s="6" t="s">
        <v>172</v>
      </c>
      <c r="B53" s="7">
        <v>32.923224954408603</v>
      </c>
      <c r="C53" s="7">
        <v>-85.122127182844494</v>
      </c>
      <c r="D53">
        <v>80</v>
      </c>
      <c r="E53" t="s">
        <v>95</v>
      </c>
      <c r="F53" s="11" t="s">
        <v>248</v>
      </c>
    </row>
    <row r="54" spans="1:6" x14ac:dyDescent="0.3">
      <c r="A54" s="6" t="s">
        <v>173</v>
      </c>
      <c r="B54" s="7">
        <v>33.6310984578909</v>
      </c>
      <c r="C54" s="7">
        <v>-84.3229001248136</v>
      </c>
      <c r="D54">
        <v>80</v>
      </c>
      <c r="E54" t="s">
        <v>49</v>
      </c>
      <c r="F54" s="11" t="s">
        <v>248</v>
      </c>
    </row>
    <row r="55" spans="1:6" ht="28.8" x14ac:dyDescent="0.3">
      <c r="A55" s="6" t="s">
        <v>174</v>
      </c>
      <c r="B55" s="7">
        <v>31.413058472363598</v>
      </c>
      <c r="C55" s="7">
        <v>-83.484177718475706</v>
      </c>
      <c r="D55">
        <v>80</v>
      </c>
      <c r="E55" t="s">
        <v>49</v>
      </c>
      <c r="F55" s="11" t="s">
        <v>248</v>
      </c>
    </row>
    <row r="56" spans="1:6" ht="28.8" x14ac:dyDescent="0.3">
      <c r="A56" s="6" t="s">
        <v>175</v>
      </c>
      <c r="B56" s="7">
        <v>31.481387269527001</v>
      </c>
      <c r="C56" s="7">
        <v>-82.879011125183595</v>
      </c>
      <c r="D56">
        <v>80</v>
      </c>
      <c r="E56" t="s">
        <v>49</v>
      </c>
      <c r="F56" s="11" t="s">
        <v>248</v>
      </c>
    </row>
    <row r="57" spans="1:6" ht="28.8" x14ac:dyDescent="0.3">
      <c r="A57" s="6" t="s">
        <v>176</v>
      </c>
      <c r="B57" s="7">
        <v>34.224844472720399</v>
      </c>
      <c r="C57" s="7">
        <v>-83.490805635896706</v>
      </c>
      <c r="D57">
        <v>80</v>
      </c>
      <c r="E57" t="s">
        <v>95</v>
      </c>
      <c r="F57" s="11" t="s">
        <v>248</v>
      </c>
    </row>
    <row r="58" spans="1:6" ht="28.8" x14ac:dyDescent="0.3">
      <c r="A58" s="6" t="s">
        <v>177</v>
      </c>
      <c r="B58" s="7">
        <v>34.190431452291897</v>
      </c>
      <c r="C58" s="7">
        <v>-83.599012047939297</v>
      </c>
      <c r="D58">
        <v>80</v>
      </c>
      <c r="E58" t="s">
        <v>95</v>
      </c>
      <c r="F58" s="11" t="s">
        <v>248</v>
      </c>
    </row>
    <row r="59" spans="1:6" x14ac:dyDescent="0.3">
      <c r="A59" s="6" t="s">
        <v>178</v>
      </c>
      <c r="B59" s="7">
        <v>33.625800168567899</v>
      </c>
      <c r="C59" s="7">
        <v>-84.484641519866301</v>
      </c>
      <c r="D59">
        <v>80</v>
      </c>
      <c r="E59" t="s">
        <v>95</v>
      </c>
      <c r="F59" s="11" t="s">
        <v>248</v>
      </c>
    </row>
    <row r="60" spans="1:6" x14ac:dyDescent="0.3">
      <c r="A60" s="6" t="s">
        <v>179</v>
      </c>
      <c r="B60" s="7">
        <v>32.174963019290601</v>
      </c>
      <c r="C60" s="7">
        <v>-81.171501414200407</v>
      </c>
      <c r="D60">
        <v>80</v>
      </c>
      <c r="E60" t="s">
        <v>7</v>
      </c>
      <c r="F60" s="11" t="s">
        <v>248</v>
      </c>
    </row>
    <row r="61" spans="1:6" ht="28.8" x14ac:dyDescent="0.3">
      <c r="A61" s="6" t="s">
        <v>180</v>
      </c>
      <c r="B61" s="7">
        <v>33.604550764330398</v>
      </c>
      <c r="C61" s="7">
        <v>-84.3857514452625</v>
      </c>
      <c r="D61">
        <v>80</v>
      </c>
      <c r="E61" t="s">
        <v>49</v>
      </c>
      <c r="F61" s="11" t="s">
        <v>248</v>
      </c>
    </row>
    <row r="62" spans="1:6" x14ac:dyDescent="0.3">
      <c r="A62" s="6" t="s">
        <v>181</v>
      </c>
      <c r="B62" s="7">
        <v>33.628703142390599</v>
      </c>
      <c r="C62" s="7">
        <v>-84.532457387457598</v>
      </c>
      <c r="D62">
        <v>80</v>
      </c>
      <c r="E62" t="s">
        <v>95</v>
      </c>
      <c r="F62" s="11" t="s">
        <v>248</v>
      </c>
    </row>
    <row r="63" spans="1:6" x14ac:dyDescent="0.3">
      <c r="A63" s="6" t="s">
        <v>182</v>
      </c>
      <c r="B63" s="7">
        <v>33.334424921423299</v>
      </c>
      <c r="C63" s="7">
        <v>-84.762860919241604</v>
      </c>
      <c r="D63">
        <v>80</v>
      </c>
      <c r="E63" t="s">
        <v>95</v>
      </c>
      <c r="F63" s="11" t="s">
        <v>248</v>
      </c>
    </row>
    <row r="64" spans="1:6" x14ac:dyDescent="0.3">
      <c r="A64" s="6" t="s">
        <v>183</v>
      </c>
      <c r="B64" s="7">
        <v>33.405265689358103</v>
      </c>
      <c r="C64" s="7">
        <v>-84.145247481961306</v>
      </c>
      <c r="D64">
        <v>80</v>
      </c>
      <c r="E64" t="s">
        <v>49</v>
      </c>
      <c r="F64" s="11" t="s">
        <v>248</v>
      </c>
    </row>
    <row r="65" spans="1:6" ht="28.8" x14ac:dyDescent="0.3">
      <c r="A65" s="6" t="s">
        <v>184</v>
      </c>
      <c r="B65" s="7">
        <v>33.769607934165201</v>
      </c>
      <c r="C65" s="7">
        <v>-84.572050194339496</v>
      </c>
      <c r="D65">
        <v>80</v>
      </c>
      <c r="E65" t="s">
        <v>111</v>
      </c>
      <c r="F65" s="11" t="s">
        <v>248</v>
      </c>
    </row>
    <row r="66" spans="1:6" ht="28.8" x14ac:dyDescent="0.3">
      <c r="A66" s="6" t="s">
        <v>185</v>
      </c>
      <c r="B66" s="7">
        <v>32.695997885863697</v>
      </c>
      <c r="C66" s="7">
        <v>-83.637319246169696</v>
      </c>
      <c r="D66">
        <v>80</v>
      </c>
      <c r="E66" t="s">
        <v>49</v>
      </c>
      <c r="F66" s="11" t="s">
        <v>248</v>
      </c>
    </row>
    <row r="67" spans="1:6" x14ac:dyDescent="0.3">
      <c r="A67" s="6" t="s">
        <v>186</v>
      </c>
      <c r="B67" s="7">
        <v>32.203362120996502</v>
      </c>
      <c r="C67" s="7">
        <v>-81.460414274849597</v>
      </c>
      <c r="D67">
        <v>80</v>
      </c>
      <c r="E67" t="s">
        <v>34</v>
      </c>
      <c r="F67" s="11" t="s">
        <v>248</v>
      </c>
    </row>
    <row r="68" spans="1:6" x14ac:dyDescent="0.3">
      <c r="A68" s="6" t="s">
        <v>187</v>
      </c>
      <c r="B68" s="7">
        <v>33.400665652480498</v>
      </c>
      <c r="C68" s="7">
        <v>-84.1435217942186</v>
      </c>
      <c r="D68">
        <v>80</v>
      </c>
      <c r="E68" t="s">
        <v>49</v>
      </c>
      <c r="F68" s="11" t="s">
        <v>248</v>
      </c>
    </row>
    <row r="69" spans="1:6" ht="28.8" x14ac:dyDescent="0.3">
      <c r="A69" s="6" t="s">
        <v>188</v>
      </c>
      <c r="B69" s="7">
        <v>30.803085399881901</v>
      </c>
      <c r="C69" s="7">
        <v>-83.299065804154196</v>
      </c>
      <c r="D69">
        <v>80</v>
      </c>
      <c r="E69" t="s">
        <v>49</v>
      </c>
      <c r="F69" s="11" t="s">
        <v>248</v>
      </c>
    </row>
    <row r="70" spans="1:6" ht="28.8" x14ac:dyDescent="0.3">
      <c r="A70" s="6" t="s">
        <v>189</v>
      </c>
      <c r="B70" s="7">
        <v>33.814527512491601</v>
      </c>
      <c r="C70" s="7">
        <v>-84.358238796204006</v>
      </c>
      <c r="D70">
        <v>80</v>
      </c>
      <c r="E70" t="s">
        <v>95</v>
      </c>
      <c r="F70" s="11" t="s">
        <v>248</v>
      </c>
    </row>
    <row r="71" spans="1:6" ht="28.8" x14ac:dyDescent="0.3">
      <c r="A71" s="6" t="s">
        <v>190</v>
      </c>
      <c r="B71" s="7">
        <v>33.721997379856603</v>
      </c>
      <c r="C71" s="7">
        <v>-84.178159009277493</v>
      </c>
      <c r="D71">
        <v>80</v>
      </c>
      <c r="E71" t="s">
        <v>111</v>
      </c>
      <c r="F71" s="11" t="s">
        <v>248</v>
      </c>
    </row>
    <row r="72" spans="1:6" x14ac:dyDescent="0.3">
      <c r="A72" s="6" t="s">
        <v>191</v>
      </c>
      <c r="B72" s="7">
        <v>33.389399844149601</v>
      </c>
      <c r="C72" s="7">
        <v>-84.150332410578997</v>
      </c>
      <c r="D72">
        <v>80</v>
      </c>
      <c r="E72" t="s">
        <v>49</v>
      </c>
      <c r="F72" s="11" t="s">
        <v>248</v>
      </c>
    </row>
    <row r="73" spans="1:6" x14ac:dyDescent="0.3">
      <c r="A73" s="6" t="s">
        <v>191</v>
      </c>
      <c r="B73" s="7">
        <v>33.734888592227499</v>
      </c>
      <c r="C73" s="7">
        <v>-84.5933578187026</v>
      </c>
      <c r="D73">
        <v>80</v>
      </c>
      <c r="E73" t="s">
        <v>111</v>
      </c>
      <c r="F73" s="11" t="s">
        <v>248</v>
      </c>
    </row>
    <row r="74" spans="1:6" x14ac:dyDescent="0.3">
      <c r="A74" s="6" t="s">
        <v>191</v>
      </c>
      <c r="B74" s="7">
        <v>31.952287107836401</v>
      </c>
      <c r="C74" s="7">
        <v>-81.3607615890636</v>
      </c>
      <c r="D74">
        <v>80</v>
      </c>
      <c r="E74" t="s">
        <v>7</v>
      </c>
      <c r="F74" s="11" t="s">
        <v>248</v>
      </c>
    </row>
    <row r="75" spans="1:6" ht="28.8" x14ac:dyDescent="0.3">
      <c r="A75" s="6" t="s">
        <v>192</v>
      </c>
      <c r="B75" s="7">
        <v>34.0970892464073</v>
      </c>
      <c r="C75" s="7">
        <v>-83.8005007946212</v>
      </c>
      <c r="D75">
        <v>80</v>
      </c>
      <c r="E75" t="s">
        <v>95</v>
      </c>
      <c r="F75" s="11" t="s">
        <v>248</v>
      </c>
    </row>
    <row r="76" spans="1:6" x14ac:dyDescent="0.3">
      <c r="A76" s="6" t="s">
        <v>193</v>
      </c>
      <c r="B76" s="7">
        <v>33.409151600879703</v>
      </c>
      <c r="C76" s="7">
        <v>-84.154634518786096</v>
      </c>
      <c r="D76">
        <v>80</v>
      </c>
      <c r="E76" t="s">
        <v>49</v>
      </c>
      <c r="F76" s="11" t="s">
        <v>248</v>
      </c>
    </row>
    <row r="77" spans="1:6" x14ac:dyDescent="0.3">
      <c r="A77" s="6" t="s">
        <v>194</v>
      </c>
      <c r="B77" s="7">
        <v>33.397458319351898</v>
      </c>
      <c r="C77" s="7">
        <v>-84.139526064595401</v>
      </c>
      <c r="D77">
        <v>80</v>
      </c>
      <c r="E77" t="s">
        <v>49</v>
      </c>
      <c r="F77" s="11" t="s">
        <v>248</v>
      </c>
    </row>
    <row r="78" spans="1:6" x14ac:dyDescent="0.3">
      <c r="A78" s="6" t="s">
        <v>195</v>
      </c>
      <c r="B78" s="7">
        <v>32.259636584538903</v>
      </c>
      <c r="C78" s="7">
        <v>-81.200861696924207</v>
      </c>
      <c r="D78">
        <v>80</v>
      </c>
      <c r="E78" t="s">
        <v>7</v>
      </c>
      <c r="F78" s="11" t="s">
        <v>248</v>
      </c>
    </row>
    <row r="79" spans="1:6" x14ac:dyDescent="0.3">
      <c r="A79" s="6" t="s">
        <v>196</v>
      </c>
      <c r="B79" s="7">
        <v>34.481807044061</v>
      </c>
      <c r="C79" s="7">
        <v>-84.941460655528502</v>
      </c>
      <c r="D79">
        <v>80</v>
      </c>
      <c r="E79" t="s">
        <v>49</v>
      </c>
      <c r="F79" s="11" t="s">
        <v>248</v>
      </c>
    </row>
    <row r="80" spans="1:6" ht="28.8" x14ac:dyDescent="0.3">
      <c r="A80" s="6" t="s">
        <v>197</v>
      </c>
      <c r="B80" s="7">
        <v>34.114229657974199</v>
      </c>
      <c r="C80" s="7">
        <v>-83.983543510336304</v>
      </c>
      <c r="D80">
        <v>320</v>
      </c>
      <c r="E80" t="s">
        <v>95</v>
      </c>
      <c r="F80" s="11" t="s">
        <v>248</v>
      </c>
    </row>
    <row r="81" spans="1:6" ht="28.8" x14ac:dyDescent="0.3">
      <c r="A81" s="6" t="s">
        <v>198</v>
      </c>
      <c r="B81" s="7">
        <v>34.232377782222201</v>
      </c>
      <c r="C81" s="7">
        <v>-83.485657779008093</v>
      </c>
      <c r="D81">
        <v>80</v>
      </c>
      <c r="E81" t="s">
        <v>95</v>
      </c>
      <c r="F81" s="11" t="s">
        <v>248</v>
      </c>
    </row>
    <row r="82" spans="1:6" ht="28.8" x14ac:dyDescent="0.3">
      <c r="A82" s="6" t="s">
        <v>199</v>
      </c>
      <c r="B82" s="7">
        <v>33.605745056435502</v>
      </c>
      <c r="C82" s="7">
        <v>-83.813208428148101</v>
      </c>
      <c r="D82">
        <v>80</v>
      </c>
      <c r="E82" t="s">
        <v>111</v>
      </c>
      <c r="F82" s="11" t="s">
        <v>248</v>
      </c>
    </row>
    <row r="83" spans="1:6" x14ac:dyDescent="0.3">
      <c r="A83" s="6" t="s">
        <v>200</v>
      </c>
      <c r="B83" s="7">
        <v>32.509617970769597</v>
      </c>
      <c r="C83" s="7">
        <v>-82.969357513166599</v>
      </c>
      <c r="D83">
        <v>80</v>
      </c>
      <c r="E83" t="s">
        <v>34</v>
      </c>
      <c r="F83" s="11" t="s">
        <v>248</v>
      </c>
    </row>
    <row r="84" spans="1:6" x14ac:dyDescent="0.3">
      <c r="A84" s="6" t="s">
        <v>201</v>
      </c>
      <c r="B84" s="7">
        <v>34.095130320582598</v>
      </c>
      <c r="C84" s="7">
        <v>-83.806097221920496</v>
      </c>
      <c r="D84">
        <v>80</v>
      </c>
      <c r="E84" t="s">
        <v>95</v>
      </c>
      <c r="F84" s="11" t="s">
        <v>248</v>
      </c>
    </row>
    <row r="85" spans="1:6" x14ac:dyDescent="0.3">
      <c r="A85" s="6" t="s">
        <v>202</v>
      </c>
      <c r="B85" s="7">
        <v>33.416044356771302</v>
      </c>
      <c r="C85" s="7">
        <v>-84.725575079949294</v>
      </c>
      <c r="D85">
        <v>80</v>
      </c>
      <c r="E85" t="s">
        <v>95</v>
      </c>
      <c r="F85" s="11" t="s">
        <v>248</v>
      </c>
    </row>
    <row r="86" spans="1:6" x14ac:dyDescent="0.3">
      <c r="A86" s="6" t="s">
        <v>203</v>
      </c>
      <c r="B86" s="7">
        <v>32.165032032147202</v>
      </c>
      <c r="C86" s="7">
        <v>-81.236253964499497</v>
      </c>
      <c r="D86">
        <v>80</v>
      </c>
      <c r="E86" t="s">
        <v>7</v>
      </c>
      <c r="F86" s="11" t="s">
        <v>248</v>
      </c>
    </row>
    <row r="87" spans="1:6" ht="28.8" x14ac:dyDescent="0.3">
      <c r="A87" s="6" t="s">
        <v>204</v>
      </c>
      <c r="B87" s="7">
        <v>33.283624980534199</v>
      </c>
      <c r="C87" s="7">
        <v>-84.084525987844998</v>
      </c>
      <c r="D87">
        <v>80</v>
      </c>
      <c r="E87" t="s">
        <v>49</v>
      </c>
      <c r="F87" s="11" t="s">
        <v>248</v>
      </c>
    </row>
    <row r="88" spans="1:6" ht="28.8" x14ac:dyDescent="0.3">
      <c r="A88" s="6" t="s">
        <v>205</v>
      </c>
      <c r="B88" s="7">
        <v>33.992181609708098</v>
      </c>
      <c r="C88" s="7">
        <v>-83.931976007618204</v>
      </c>
      <c r="D88">
        <v>80</v>
      </c>
      <c r="E88" t="s">
        <v>95</v>
      </c>
      <c r="F88" s="11" t="s">
        <v>248</v>
      </c>
    </row>
    <row r="89" spans="1:6" x14ac:dyDescent="0.3">
      <c r="A89" s="6" t="s">
        <v>206</v>
      </c>
      <c r="B89" s="7">
        <v>33.531879982782897</v>
      </c>
      <c r="C89" s="7">
        <v>-84.635598103469306</v>
      </c>
      <c r="D89">
        <v>80</v>
      </c>
      <c r="E89" t="s">
        <v>95</v>
      </c>
      <c r="F89" s="11" t="s">
        <v>248</v>
      </c>
    </row>
    <row r="90" spans="1:6" x14ac:dyDescent="0.3">
      <c r="A90" s="6" t="s">
        <v>206</v>
      </c>
      <c r="B90" s="7">
        <v>33.404263132074298</v>
      </c>
      <c r="C90" s="7">
        <v>-84.156341833961093</v>
      </c>
      <c r="D90">
        <v>80</v>
      </c>
      <c r="E90" t="s">
        <v>49</v>
      </c>
      <c r="F90" s="11" t="s">
        <v>248</v>
      </c>
    </row>
    <row r="91" spans="1:6" x14ac:dyDescent="0.3">
      <c r="A91" s="6" t="s">
        <v>207</v>
      </c>
      <c r="B91" s="7">
        <v>33.365784946221503</v>
      </c>
      <c r="C91" s="7">
        <v>-84.126396690532005</v>
      </c>
      <c r="D91">
        <v>80</v>
      </c>
      <c r="E91" t="s">
        <v>49</v>
      </c>
      <c r="F91" s="11" t="s">
        <v>248</v>
      </c>
    </row>
    <row r="92" spans="1:6" ht="28.8" x14ac:dyDescent="0.3">
      <c r="A92" s="6" t="s">
        <v>208</v>
      </c>
      <c r="B92" s="7">
        <v>33.962399923176797</v>
      </c>
      <c r="C92" s="7">
        <v>-83.804946687638207</v>
      </c>
      <c r="D92">
        <v>80</v>
      </c>
      <c r="E92" t="s">
        <v>95</v>
      </c>
      <c r="F92" s="11" t="s">
        <v>248</v>
      </c>
    </row>
    <row r="93" spans="1:6" x14ac:dyDescent="0.3">
      <c r="A93" s="6" t="s">
        <v>209</v>
      </c>
      <c r="B93" s="7">
        <v>33.610096662646697</v>
      </c>
      <c r="C93" s="7">
        <v>-84.414083968687706</v>
      </c>
      <c r="D93">
        <v>80</v>
      </c>
      <c r="E93" t="s">
        <v>49</v>
      </c>
      <c r="F93" s="11" t="s">
        <v>248</v>
      </c>
    </row>
    <row r="94" spans="1:6" x14ac:dyDescent="0.3">
      <c r="A94" s="6" t="s">
        <v>210</v>
      </c>
      <c r="B94" s="7">
        <v>33.974656208515597</v>
      </c>
      <c r="C94" s="7">
        <v>-84.178113340135397</v>
      </c>
      <c r="D94">
        <v>80</v>
      </c>
      <c r="E94" t="s">
        <v>95</v>
      </c>
      <c r="F94" s="11" t="s">
        <v>248</v>
      </c>
    </row>
    <row r="95" spans="1:6" ht="28.8" x14ac:dyDescent="0.3">
      <c r="A95" s="6" t="s">
        <v>211</v>
      </c>
      <c r="B95" s="7">
        <v>33.713355064800702</v>
      </c>
      <c r="C95" s="7">
        <v>-84.610629445268003</v>
      </c>
      <c r="D95">
        <v>80</v>
      </c>
      <c r="E95" t="s">
        <v>111</v>
      </c>
      <c r="F95" s="11" t="s">
        <v>248</v>
      </c>
    </row>
    <row r="96" spans="1:6" ht="28.8" x14ac:dyDescent="0.3">
      <c r="A96" s="6" t="s">
        <v>212</v>
      </c>
      <c r="B96" s="7">
        <v>33.624136640678202</v>
      </c>
      <c r="C96" s="7">
        <v>-84.533279021168099</v>
      </c>
      <c r="D96">
        <v>80</v>
      </c>
      <c r="E96" t="s">
        <v>95</v>
      </c>
      <c r="F96" s="11" t="s">
        <v>248</v>
      </c>
    </row>
    <row r="97" spans="1:6" x14ac:dyDescent="0.3">
      <c r="A97" s="6" t="s">
        <v>213</v>
      </c>
      <c r="B97" s="7">
        <v>32.2462354129798</v>
      </c>
      <c r="C97" s="7">
        <v>-81.212788104112207</v>
      </c>
      <c r="D97">
        <v>80</v>
      </c>
      <c r="E97" t="s">
        <v>7</v>
      </c>
      <c r="F97" s="11" t="s">
        <v>248</v>
      </c>
    </row>
    <row r="98" spans="1:6" x14ac:dyDescent="0.3">
      <c r="A98" s="6" t="s">
        <v>214</v>
      </c>
      <c r="B98" s="7">
        <v>32.234268035156198</v>
      </c>
      <c r="C98" s="7">
        <v>-81.213403046160906</v>
      </c>
      <c r="D98">
        <v>80</v>
      </c>
      <c r="E98" t="s">
        <v>7</v>
      </c>
      <c r="F98" s="11" t="s">
        <v>248</v>
      </c>
    </row>
    <row r="99" spans="1:6" ht="28.8" x14ac:dyDescent="0.3">
      <c r="A99" s="6" t="s">
        <v>215</v>
      </c>
      <c r="B99" s="7">
        <v>34.150292684335298</v>
      </c>
      <c r="C99" s="7">
        <v>-83.956108998949503</v>
      </c>
      <c r="D99">
        <v>80</v>
      </c>
      <c r="E99" t="s">
        <v>95</v>
      </c>
      <c r="F99" s="11" t="s">
        <v>248</v>
      </c>
    </row>
    <row r="100" spans="1:6" x14ac:dyDescent="0.3">
      <c r="A100" s="6" t="s">
        <v>216</v>
      </c>
      <c r="B100" s="7">
        <v>32.187040965931899</v>
      </c>
      <c r="C100" s="7">
        <v>-81.179191745865097</v>
      </c>
      <c r="D100">
        <v>80</v>
      </c>
      <c r="E100" t="s">
        <v>7</v>
      </c>
      <c r="F100" s="11" t="s">
        <v>248</v>
      </c>
    </row>
    <row r="101" spans="1:6" x14ac:dyDescent="0.3">
      <c r="A101" s="6" t="s">
        <v>217</v>
      </c>
      <c r="B101" s="7">
        <v>33.759886318249499</v>
      </c>
      <c r="C101" s="7">
        <v>-84.595657304322302</v>
      </c>
      <c r="D101">
        <v>80</v>
      </c>
      <c r="E101" t="s">
        <v>111</v>
      </c>
      <c r="F101" s="11" t="s">
        <v>248</v>
      </c>
    </row>
    <row r="102" spans="1:6" x14ac:dyDescent="0.3">
      <c r="A102" s="6" t="s">
        <v>218</v>
      </c>
      <c r="B102" s="7">
        <v>33.741226963537102</v>
      </c>
      <c r="C102" s="7">
        <v>-84.946216019447107</v>
      </c>
      <c r="D102">
        <v>80</v>
      </c>
      <c r="E102" t="s">
        <v>111</v>
      </c>
      <c r="F102" s="11" t="s">
        <v>248</v>
      </c>
    </row>
    <row r="103" spans="1:6" x14ac:dyDescent="0.3">
      <c r="A103" s="6" t="s">
        <v>219</v>
      </c>
      <c r="B103" s="7">
        <v>33.411816883272003</v>
      </c>
      <c r="C103" s="7">
        <v>-84.166587470599396</v>
      </c>
      <c r="D103">
        <v>80</v>
      </c>
      <c r="E103" t="s">
        <v>49</v>
      </c>
      <c r="F103" s="11" t="s">
        <v>248</v>
      </c>
    </row>
    <row r="104" spans="1:6" x14ac:dyDescent="0.3">
      <c r="A104" s="6" t="s">
        <v>220</v>
      </c>
      <c r="B104" s="7">
        <v>34.277576127163996</v>
      </c>
      <c r="C104" s="7">
        <v>-84.789894311410293</v>
      </c>
      <c r="D104">
        <v>80</v>
      </c>
      <c r="E104" t="s">
        <v>49</v>
      </c>
      <c r="F104" s="11" t="s">
        <v>248</v>
      </c>
    </row>
    <row r="105" spans="1:6" x14ac:dyDescent="0.3">
      <c r="A105" s="6" t="s">
        <v>221</v>
      </c>
      <c r="B105" s="7">
        <v>33.537060562442598</v>
      </c>
      <c r="C105" s="7">
        <v>-84.599932383149095</v>
      </c>
      <c r="D105">
        <v>80</v>
      </c>
      <c r="E105" t="s">
        <v>95</v>
      </c>
      <c r="F105" s="11" t="s">
        <v>248</v>
      </c>
    </row>
    <row r="106" spans="1:6" x14ac:dyDescent="0.3">
      <c r="A106" s="6" t="s">
        <v>222</v>
      </c>
      <c r="B106" s="7">
        <v>33.630602209067803</v>
      </c>
      <c r="C106" s="7">
        <v>-84.460881385790501</v>
      </c>
      <c r="D106">
        <v>80</v>
      </c>
      <c r="E106" t="s">
        <v>95</v>
      </c>
      <c r="F106" s="11" t="s">
        <v>248</v>
      </c>
    </row>
    <row r="107" spans="1:6" x14ac:dyDescent="0.3">
      <c r="A107" s="6" t="s">
        <v>223</v>
      </c>
      <c r="B107" s="7">
        <v>33.379438964387198</v>
      </c>
      <c r="C107" s="7">
        <v>-84.313365155707302</v>
      </c>
      <c r="D107">
        <v>320</v>
      </c>
      <c r="E107" t="s">
        <v>49</v>
      </c>
      <c r="F107" s="11" t="s">
        <v>248</v>
      </c>
    </row>
    <row r="108" spans="1:6" ht="28.8" x14ac:dyDescent="0.3">
      <c r="A108" s="6" t="s">
        <v>224</v>
      </c>
      <c r="B108" s="7">
        <v>31.421576534762298</v>
      </c>
      <c r="C108" s="7">
        <v>-83.518087345778099</v>
      </c>
      <c r="D108">
        <v>320</v>
      </c>
      <c r="E108" t="s">
        <v>49</v>
      </c>
      <c r="F108" s="11" t="s">
        <v>248</v>
      </c>
    </row>
    <row r="109" spans="1:6" ht="28.8" x14ac:dyDescent="0.3">
      <c r="A109" s="6" t="s">
        <v>224</v>
      </c>
      <c r="B109" s="7">
        <v>31.7778980772196</v>
      </c>
      <c r="C109" s="7">
        <v>-81.353590267267606</v>
      </c>
      <c r="D109">
        <v>320</v>
      </c>
      <c r="E109" t="s">
        <v>7</v>
      </c>
      <c r="F109" s="11" t="s">
        <v>248</v>
      </c>
    </row>
    <row r="110" spans="1:6" ht="28.8" x14ac:dyDescent="0.3">
      <c r="A110" s="6" t="s">
        <v>225</v>
      </c>
      <c r="B110" s="7">
        <v>32.1739860544088</v>
      </c>
      <c r="C110" s="7">
        <v>-81.175350686694998</v>
      </c>
      <c r="D110">
        <v>320</v>
      </c>
      <c r="E110" t="s">
        <v>7</v>
      </c>
      <c r="F110" s="11" t="s">
        <v>248</v>
      </c>
    </row>
    <row r="111" spans="1:6" x14ac:dyDescent="0.3">
      <c r="A111" s="6" t="s">
        <v>226</v>
      </c>
      <c r="B111" s="7">
        <v>33.406792050537298</v>
      </c>
      <c r="C111" s="7">
        <v>-84.180064655740097</v>
      </c>
      <c r="D111">
        <v>80</v>
      </c>
      <c r="E111" t="s">
        <v>49</v>
      </c>
      <c r="F111" s="11" t="s">
        <v>248</v>
      </c>
    </row>
    <row r="112" spans="1:6" x14ac:dyDescent="0.3">
      <c r="A112" s="6" t="s">
        <v>227</v>
      </c>
      <c r="B112" s="7">
        <v>33.771070145756603</v>
      </c>
      <c r="C112" s="7">
        <v>-84.594499923217697</v>
      </c>
      <c r="D112">
        <v>80</v>
      </c>
      <c r="E112" t="s">
        <v>111</v>
      </c>
      <c r="F112" s="11" t="s">
        <v>248</v>
      </c>
    </row>
    <row r="113" spans="1:6" ht="28.8" x14ac:dyDescent="0.3">
      <c r="A113" s="6" t="s">
        <v>228</v>
      </c>
      <c r="B113" s="7">
        <v>34.291893457586497</v>
      </c>
      <c r="C113" s="7">
        <v>-84.731140944202807</v>
      </c>
      <c r="D113">
        <v>80</v>
      </c>
      <c r="E113" t="s">
        <v>49</v>
      </c>
      <c r="F113" s="11" t="s">
        <v>248</v>
      </c>
    </row>
    <row r="114" spans="1:6" ht="28.8" x14ac:dyDescent="0.3">
      <c r="A114" s="6" t="s">
        <v>229</v>
      </c>
      <c r="B114" s="7">
        <v>33.408974341528499</v>
      </c>
      <c r="C114" s="7">
        <v>-84.126437865855806</v>
      </c>
      <c r="D114">
        <v>80</v>
      </c>
      <c r="E114" t="s">
        <v>49</v>
      </c>
      <c r="F114" s="11" t="s">
        <v>248</v>
      </c>
    </row>
    <row r="115" spans="1:6" ht="28.8" x14ac:dyDescent="0.3">
      <c r="A115" s="6" t="s">
        <v>230</v>
      </c>
      <c r="B115" s="7">
        <v>32.725905977524199</v>
      </c>
      <c r="C115" s="7">
        <v>-83.732376437641904</v>
      </c>
      <c r="D115">
        <v>80</v>
      </c>
      <c r="E115" t="s">
        <v>49</v>
      </c>
      <c r="F115" s="11" t="s">
        <v>248</v>
      </c>
    </row>
    <row r="116" spans="1:6" ht="28.8" x14ac:dyDescent="0.3">
      <c r="A116" s="6" t="s">
        <v>231</v>
      </c>
      <c r="B116" s="7">
        <v>33.5464410261513</v>
      </c>
      <c r="C116" s="7">
        <v>-84.348588303692296</v>
      </c>
      <c r="D116">
        <v>80</v>
      </c>
      <c r="E116" t="s">
        <v>49</v>
      </c>
      <c r="F116" s="11" t="s">
        <v>248</v>
      </c>
    </row>
    <row r="117" spans="1:6" x14ac:dyDescent="0.3">
      <c r="A117" s="6" t="s">
        <v>232</v>
      </c>
      <c r="B117" s="7">
        <v>34.095936841390298</v>
      </c>
      <c r="C117" s="7">
        <v>-83.782094241568103</v>
      </c>
      <c r="D117">
        <v>80</v>
      </c>
      <c r="E117" t="s">
        <v>95</v>
      </c>
      <c r="F117" s="11" t="s">
        <v>248</v>
      </c>
    </row>
    <row r="118" spans="1:6" x14ac:dyDescent="0.3">
      <c r="A118" s="6" t="s">
        <v>233</v>
      </c>
      <c r="B118" s="7">
        <v>34.001584848038497</v>
      </c>
      <c r="C118" s="7">
        <v>-84.083906356539401</v>
      </c>
      <c r="D118">
        <v>320</v>
      </c>
      <c r="E118" t="s">
        <v>95</v>
      </c>
      <c r="F118" s="11" t="s">
        <v>248</v>
      </c>
    </row>
    <row r="119" spans="1:6" ht="28.8" x14ac:dyDescent="0.3">
      <c r="A119" s="6" t="s">
        <v>234</v>
      </c>
      <c r="B119" s="7">
        <v>31.966737406232198</v>
      </c>
      <c r="C119" s="7">
        <v>-83.738707359856704</v>
      </c>
      <c r="D119">
        <v>80</v>
      </c>
      <c r="E119" t="s">
        <v>49</v>
      </c>
      <c r="F119" s="11" t="s">
        <v>248</v>
      </c>
    </row>
    <row r="120" spans="1:6" x14ac:dyDescent="0.3">
      <c r="A120" s="6" t="s">
        <v>235</v>
      </c>
      <c r="B120" s="7">
        <v>33.415245253987401</v>
      </c>
      <c r="C120" s="7">
        <v>-84.752799640641598</v>
      </c>
      <c r="D120">
        <v>80</v>
      </c>
      <c r="E120" t="s">
        <v>95</v>
      </c>
      <c r="F120" s="11" t="s">
        <v>248</v>
      </c>
    </row>
    <row r="121" spans="1:6" ht="28.8" x14ac:dyDescent="0.3">
      <c r="A121" s="6" t="s">
        <v>236</v>
      </c>
      <c r="B121" s="7">
        <v>34.201128817899701</v>
      </c>
      <c r="C121" s="7">
        <v>-83.602928539354707</v>
      </c>
      <c r="D121">
        <v>80</v>
      </c>
      <c r="E121" t="s">
        <v>95</v>
      </c>
      <c r="F121" s="11" t="s">
        <v>248</v>
      </c>
    </row>
    <row r="122" spans="1:6" x14ac:dyDescent="0.3">
      <c r="A122" s="6" t="s">
        <v>237</v>
      </c>
      <c r="B122" s="7">
        <v>33.709739422330003</v>
      </c>
      <c r="C122" s="7">
        <v>-84.607461833074098</v>
      </c>
      <c r="D122">
        <v>80</v>
      </c>
      <c r="E122" t="s">
        <v>111</v>
      </c>
      <c r="F122" s="11" t="s">
        <v>248</v>
      </c>
    </row>
    <row r="123" spans="1:6" x14ac:dyDescent="0.3">
      <c r="A123" s="6" t="s">
        <v>238</v>
      </c>
      <c r="B123" s="7">
        <v>32.079684672635899</v>
      </c>
      <c r="C123" s="7">
        <v>-81.212434630965703</v>
      </c>
      <c r="D123">
        <v>80</v>
      </c>
      <c r="E123" t="s">
        <v>34</v>
      </c>
      <c r="F123" s="11" t="s">
        <v>248</v>
      </c>
    </row>
    <row r="124" spans="1:6" ht="28.8" x14ac:dyDescent="0.3">
      <c r="A124" s="6" t="s">
        <v>239</v>
      </c>
      <c r="B124" s="7">
        <v>33.401987432736398</v>
      </c>
      <c r="C124" s="7">
        <v>-84.732917228655097</v>
      </c>
      <c r="D124">
        <v>80</v>
      </c>
      <c r="E124" t="s">
        <v>95</v>
      </c>
      <c r="F124" s="11" t="s">
        <v>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1119-F3DC-42DE-9A1A-EAFD4C567142}">
  <dimension ref="A1:F3"/>
  <sheetViews>
    <sheetView workbookViewId="0"/>
  </sheetViews>
  <sheetFormatPr defaultColWidth="11.44140625" defaultRowHeight="14.4" x14ac:dyDescent="0.3"/>
  <cols>
    <col min="1" max="1" width="13.88671875" bestFit="1" customWidth="1"/>
    <col min="4" max="4" width="17.44140625" bestFit="1" customWidth="1"/>
    <col min="5" max="5" width="14.44140625" bestFit="1" customWidth="1"/>
    <col min="6" max="6" width="13" bestFit="1" customWidth="1"/>
  </cols>
  <sheetData>
    <row r="1" spans="1:6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6" x14ac:dyDescent="0.3">
      <c r="A2" s="13" t="s">
        <v>240</v>
      </c>
      <c r="B2" s="13" t="s">
        <v>241</v>
      </c>
      <c r="C2" s="13" t="s">
        <v>241</v>
      </c>
      <c r="D2" s="13" t="s">
        <v>242</v>
      </c>
      <c r="E2" s="13" t="s">
        <v>243</v>
      </c>
      <c r="F2" s="13" t="s">
        <v>244</v>
      </c>
    </row>
    <row r="3" spans="1:6" x14ac:dyDescent="0.3">
      <c r="A3" s="13"/>
      <c r="B3" s="13"/>
      <c r="C3" s="13"/>
      <c r="D3" s="13" t="s">
        <v>245</v>
      </c>
      <c r="E3" s="13"/>
      <c r="F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all_stops</vt:lpstr>
      <vt:lpstr>truck_stops_only</vt:lpstr>
      <vt:lpstr>state_owned_and_racetrac</vt:lpstr>
      <vt:lpstr>racetrac_and_weigh_stations</vt:lpstr>
      <vt:lpstr>only_trac</vt:lpstr>
      <vt:lpstr>dist_centers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Prakash, Aditya</cp:lastModifiedBy>
  <cp:revision/>
  <dcterms:created xsi:type="dcterms:W3CDTF">2026-03-04T20:33:44Z</dcterms:created>
  <dcterms:modified xsi:type="dcterms:W3CDTF">2026-04-02T16:27:53Z</dcterms:modified>
  <cp:category/>
  <cp:contentStatus/>
</cp:coreProperties>
</file>